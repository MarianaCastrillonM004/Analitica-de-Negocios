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Mariana\Downloads\"/>
    </mc:Choice>
  </mc:AlternateContent>
  <xr:revisionPtr revIDLastSave="0" documentId="13_ncr:1_{592E015F-1155-426A-857C-612A4FC0F1D9}" xr6:coauthVersionLast="40" xr6:coauthVersionMax="40" xr10:uidLastSave="{00000000-0000-0000-0000-000000000000}"/>
  <bookViews>
    <workbookView xWindow="0" yWindow="0" windowWidth="20490" windowHeight="7545" activeTab="2" xr2:uid="{00000000-000D-0000-FFFF-FFFF00000000}"/>
  </bookViews>
  <sheets>
    <sheet name="Raw data" sheetId="1" r:id="rId1"/>
    <sheet name="Filtro-Datos consolidados" sheetId="2" r:id="rId2"/>
    <sheet name="Graficas y Conclusiones" sheetId="3" r:id="rId3"/>
  </sheets>
  <definedNames>
    <definedName name="_xlnm._FilterDatabase" localSheetId="1" hidden="1">'Filtro-Datos consolidados'!$A$1:$D$132</definedName>
    <definedName name="_xlchart.v1.0" hidden="1">'Graficas y Conclusiones'!$B$3:$B$13</definedName>
    <definedName name="_xlchart.v1.1" hidden="1">'Graficas y Conclusiones'!$C$3:$C$13</definedName>
    <definedName name="_xlchart.v1.2" hidden="1">'Graficas y Conclusiones'!$B$17:$B$27</definedName>
    <definedName name="_xlchart.v1.3" hidden="1">'Graficas y Conclusiones'!$C$17:$C$27</definedName>
    <definedName name="_xlchart.v1.4" hidden="1">'Graficas y Conclusiones'!$B$31:$B$41</definedName>
    <definedName name="_xlchart.v1.5" hidden="1">'Graficas y Conclusiones'!$C$31:$C$41</definedName>
    <definedName name="_xlchart.v1.6" hidden="1">'Graficas y Conclusiones'!$B$45:$B$55</definedName>
    <definedName name="_xlchart.v1.7" hidden="1">'Graficas y Conclusiones'!$C$45:$C$55</definedName>
  </definedNames>
  <calcPr calcId="191029"/>
</workbook>
</file>

<file path=xl/calcChain.xml><?xml version="1.0" encoding="utf-8"?>
<calcChain xmlns="http://schemas.openxmlformats.org/spreadsheetml/2006/main">
  <c r="C8" i="3" l="1"/>
  <c r="C22" i="3"/>
  <c r="C36" i="3"/>
  <c r="C50" i="3"/>
  <c r="H45" i="2" l="1"/>
  <c r="H9" i="2"/>
  <c r="H84" i="2"/>
  <c r="H112" i="2"/>
  <c r="H110" i="2"/>
  <c r="H108" i="2"/>
  <c r="H109" i="2"/>
  <c r="H111" i="2"/>
  <c r="H113" i="2"/>
  <c r="H114" i="2"/>
  <c r="H115" i="2"/>
  <c r="H116" i="2"/>
  <c r="H117" i="2"/>
  <c r="H107" i="2"/>
  <c r="H80" i="2"/>
  <c r="H81" i="2"/>
  <c r="H82" i="2"/>
  <c r="H83" i="2"/>
  <c r="H85" i="2"/>
  <c r="H86" i="2"/>
  <c r="H87" i="2"/>
  <c r="H88" i="2"/>
  <c r="H89" i="2"/>
  <c r="H79" i="2"/>
  <c r="H41" i="2"/>
  <c r="H42" i="2"/>
  <c r="H43" i="2"/>
  <c r="H44" i="2"/>
  <c r="H46" i="2"/>
  <c r="H47" i="2"/>
  <c r="H48" i="2"/>
  <c r="H49" i="2"/>
  <c r="H50" i="2"/>
  <c r="H40" i="2"/>
  <c r="H5" i="2"/>
  <c r="H6" i="2"/>
  <c r="H7" i="2"/>
  <c r="H8" i="2"/>
  <c r="I9" i="2" s="1"/>
  <c r="H10" i="2"/>
  <c r="H11" i="2"/>
  <c r="H12" i="2"/>
  <c r="H13" i="2"/>
  <c r="H14" i="2"/>
  <c r="H4" i="2"/>
</calcChain>
</file>

<file path=xl/sharedStrings.xml><?xml version="1.0" encoding="utf-8"?>
<sst xmlns="http://schemas.openxmlformats.org/spreadsheetml/2006/main" count="629" uniqueCount="133">
  <si>
    <t>oracion</t>
  </si>
  <si>
    <t>polaridad</t>
  </si>
  <si>
    <t>sentimiento</t>
  </si>
  <si>
    <t>año</t>
  </si>
  <si>
    <t>Detailed Report on Colombia's Foreign Trade in 2020
1.</t>
  </si>
  <si>
    <t>Neutral</t>
  </si>
  <si>
    <t>Introduction
2020 represented a turning point for the global economy, and Colombia was no exception.</t>
  </si>
  <si>
    <t>Indiferente</t>
  </si>
  <si>
    <t>The outbreak of the COVID-19 pandemic generated an unprecedented health crisis that drastically impacted supply chains, international trade relations, and domestic demand.</t>
  </si>
  <si>
    <t>Inestabilidad</t>
  </si>
  <si>
    <t xml:space="preserve">In this context, Colombian foreign trade presented a series of specific characteristics that are worth analyzing in depth.
</t>
  </si>
  <si>
    <t>Favorable</t>
  </si>
  <si>
    <t>2.</t>
  </si>
  <si>
    <t>The Impact of the COVID-19 Pandemic on Colombian Foreign Trade
The COVID-19 pandemic had a devastating effect on the Colombian economy, causing an economic contraction unprecedented since the Great Depression.</t>
  </si>
  <si>
    <t xml:space="preserve">The lockdown and social distancing measures implemented by the government to contain the spread of the virus paralyzed economic activity and generated a sharp drop in demand.
</t>
  </si>
  <si>
    <t>Escepticismo</t>
  </si>
  <si>
    <t>Main consequences of the pandemic on Colombian foreign trade:
Decrease in global trade:</t>
  </si>
  <si>
    <t xml:space="preserve">Restrictions on the movement of people and goods, as well as border closures, caused a significant contraction in global trade, directly affecting Colombian exports and imports.
</t>
  </si>
  <si>
    <t>Optimismo</t>
  </si>
  <si>
    <t xml:space="preserve">Disruption of supply chains: The pandemic exposed the fragility of global supply chains, generating product shortages in some sectors and increasing production costs for Colombian companies.
</t>
  </si>
  <si>
    <t xml:space="preserve">Increased uncertainty: The heightened uncertainty generated by the pandemic discouraged investment and consumption, affecting demand for imported products and Colombian exports.
</t>
  </si>
  <si>
    <t>Pesimismo</t>
  </si>
  <si>
    <t xml:space="preserve">Acceleration of e-commerce: The pandemic boosted the growth of e-commerce in Colombia, as consumers turned to online shopping to purchase goods and services, creating new opportunities for Colombian companies.
</t>
  </si>
  <si>
    <t>Consolidacion</t>
  </si>
  <si>
    <t xml:space="preserve">3. Key Trends in Colombian Foreign Trade in 2020
Declining Exports: Colombian exports contracted due to falling commodity prices, especially oil, and lower external demand, primarily in sectors such as the automotive and manufacturing sectors.
</t>
  </si>
  <si>
    <t xml:space="preserve">Decreasing Imports: Imports also declined, reflecting lower economic activity and falling investment.
</t>
  </si>
  <si>
    <t xml:space="preserve">Greater Dependence on Some Markets: Colombia remained dependent on the United States and the European Union as its main export destinations.
</t>
  </si>
  <si>
    <t>Conviccion</t>
  </si>
  <si>
    <t xml:space="preserve">Strengthening E-Commerce: As globally, e-commerce experienced significant growth in Colombia, generating new opportunities for Colombian companies.
</t>
  </si>
  <si>
    <t>Agro-industrial Sector as a Growth Driver</t>
  </si>
  <si>
    <t xml:space="preserve">: The agro-industrial sector showed greater resilience, with some products such as coffee and Hass avocado registering growth in their exports.
</t>
  </si>
  <si>
    <t>4.</t>
  </si>
  <si>
    <t xml:space="preserve">Sector Analysis
Mining and Energy Sector: This sector, traditionally one of the pillars of Colombian exports, suffered a severe impact due to the drop in oil prices and lower global energy demand.
</t>
  </si>
  <si>
    <t>Manufacturing Sector: The manufacturing sector was affected by lower domestic and external demand, especially in sectors such as automotive and textiles.</t>
  </si>
  <si>
    <t xml:space="preserve">However, some subsectors, such as pharmaceuticals and medical devices, experienced growth due to increased demand associated with the pandemic.
</t>
  </si>
  <si>
    <t>Agroindustrial Sector:</t>
  </si>
  <si>
    <t xml:space="preserve">Despite the adverse context, the agroindustrial sector showed greater resilience, with some products such as coffee and Hass avocado registering growth in their exports.
</t>
  </si>
  <si>
    <t>5. Challenges and Opportunities for the Future
The COVID-19 pandemic has highlighted the need to diversify economies, strengthen supply chains, and promote innovation.</t>
  </si>
  <si>
    <t xml:space="preserve">For Colombia, the main challenges include:
Recovery of global demand: The recovery of the global economy will be essential to boosting the growth of Colombian foreign trade.
</t>
  </si>
  <si>
    <t xml:space="preserve">Adaptation to new technologies: The digitalization of trade and the adoption of new technologies will be key to improving the competitiveness of Colombian companies.
</t>
  </si>
  <si>
    <t xml:space="preserve">Strengthening institutions: Building strong and transparent institutions is essential to attracting foreign investment and fostering private sector development.
</t>
  </si>
  <si>
    <t>6.</t>
  </si>
  <si>
    <t xml:space="preserve">Opportunities:
Development of new markets: The crisis has generated new opportunities to explore new markets and diversify exports.
</t>
  </si>
  <si>
    <t xml:space="preserve">Promotion of local production: The pandemic has highlighted the importance of local production and food security.
</t>
  </si>
  <si>
    <t xml:space="preserve">Strengthening regional cooperation: Regional cooperation can help countries address common challenges and seize opportunities.
</t>
  </si>
  <si>
    <t xml:space="preserve">Joint activities.
</t>
  </si>
  <si>
    <t>7. Conclusions
2020 was a year of great challenges for Colombian foreign trade.</t>
  </si>
  <si>
    <t>However, it also represented an opportunity to rethink the economic development model and strengthen the economy's resilience.</t>
  </si>
  <si>
    <t>The recovery of the global economy and the implementation of appropriate public policies will be essential to seize the opportunities that arise in the coming years.</t>
  </si>
  <si>
    <t>Detailed Report on Colombia's Foreign Trade in 2021
1.</t>
  </si>
  <si>
    <t>Introduction
2021 was a year of transition for the global economy and for Colombia.</t>
  </si>
  <si>
    <t>Although the COVID-19 pandemic continued to be a challenge, vaccination measures and the easing of restrictions allowed for a gradual reactivation of economic activity.</t>
  </si>
  <si>
    <t xml:space="preserve">In this context, Colombian foreign trade presented a series of particularities that are worth analyzing in depth.
</t>
  </si>
  <si>
    <t>The Residual Impact of the COVID-19 Pandemic and Economic Recovery
Although the Colombian economy began to recover in 2021, the effects of the pandemic persisted.</t>
  </si>
  <si>
    <t xml:space="preserve">Uncertainty, supply chain disruptions, and weak global demand continued to be factors influencing the performance of foreign trade.
</t>
  </si>
  <si>
    <t xml:space="preserve">However, as the year progressed, a gradual recovery in exports and imports was observed, driven by:
Increased global demand:** Mass vaccination in several countries and the implementation of expansionary fiscal and monetary policies contributed to a gradual recovery in global demand.
</t>
  </si>
  <si>
    <t>Economic opening:**</t>
  </si>
  <si>
    <t xml:space="preserve">The easing of restrictions and the reopening of key sectors of the economy boosted domestic and external economic activity.
</t>
  </si>
  <si>
    <t xml:space="preserve">Business adaptation:** Colombian companies adapted to the new reality, implementing new technologies and business models to address the challenges posed by the pandemic.
</t>
  </si>
  <si>
    <t xml:space="preserve">3. Key Trends in Colombian Foreign Trade in 2021
Export recovery:** Colombian exports showed a gradual recovery throughout the year, driven by the recovery in raw material prices and higher demand for some products.
</t>
  </si>
  <si>
    <t>Import growth:**</t>
  </si>
  <si>
    <t xml:space="preserve">Imports also recovered, reflecting the reactivation of domestic economic activity and increased demand for capital and consumer goods.
</t>
  </si>
  <si>
    <t>Diversification of the export basket:**</t>
  </si>
  <si>
    <t xml:space="preserve">Greater diversification of the Colombian export basket was observed, with growth in exports of non-traditional products such as processed foods and manufactured goods.
</t>
  </si>
  <si>
    <t xml:space="preserve">Strengthening of e-commerce:** E-commerce continued to consolidate itself as an important sales channel for Colombian companies, driven by increasing internet penetration and the use of mobile devices.
</t>
  </si>
  <si>
    <t>Greater importance of trade agreements:**</t>
  </si>
  <si>
    <t xml:space="preserve">The trade agreements signed by Colombia, such as the Free Trade Agreement with the United States, played an important role in the recovery of foreign trade.
</t>
  </si>
  <si>
    <t>Confianza</t>
  </si>
  <si>
    <t>Sector Analysis
Mining and energy sector:**</t>
  </si>
  <si>
    <t xml:space="preserve">This sector benefited from the recovery in oil prices and increased global energy demand.
</t>
  </si>
  <si>
    <t>Agroindustrial sector:**</t>
  </si>
  <si>
    <t xml:space="preserve">The agroindustrial sector continued to perform well, thanks to global demand for food and the diversification of the export supply.
</t>
  </si>
  <si>
    <t>Manufacturing Sector:**</t>
  </si>
  <si>
    <t xml:space="preserve">The manufacturing sector experienced a gradual recovery, driven by increased domestic and external demand.
</t>
  </si>
  <si>
    <t>5. Challenges and Opportunities for the Future
Despite the recovery observed in 2021, Colombian foreign trade still faces significant challenges:
Economic Uncertainty:**</t>
  </si>
  <si>
    <t xml:space="preserve">The persistence of the pandemic and the emergence of new virus variants are generating uncertainty in the markets.
</t>
  </si>
  <si>
    <t xml:space="preserve">Supply Chain Disruptions:** Disruptions in global supply chains continue to be a challenge for Colombian companies.
</t>
  </si>
  <si>
    <t>Competitiveness:**</t>
  </si>
  <si>
    <t xml:space="preserve">The competitiveness of Colombian exports must improve to face competition from other countries.
</t>
  </si>
  <si>
    <t>Opportunities:
Digital Economy:**</t>
  </si>
  <si>
    <t xml:space="preserve">The acceleration of digitalization offers new opportunities for e-commerce and innovation.
</t>
  </si>
  <si>
    <t>Renewable Energy:**</t>
  </si>
  <si>
    <t xml:space="preserve">The transition to a more sustainable economy represents an opportunity for the development of renewable energy.
</t>
  </si>
  <si>
    <t xml:space="preserve">Trade agreements: Existing and future trade agreements can boost Colombian exports and attract foreign investment.
</t>
  </si>
  <si>
    <t>7. Conclusions
2021 was a year of recovery for Colombian foreign trade, but significant challenges remain.</t>
  </si>
  <si>
    <t>To consolidate this recovery and take advantage of the opportunities that arise, it is necessary to implement public policies that promote economic diversification, innovation, and the competitiveness of Colombian companies.</t>
  </si>
  <si>
    <t>Detailed Report on Colombia's Foreign Trade in 2022
1.</t>
  </si>
  <si>
    <t>Introduction
The year 2022 marked an important milestone in Colombia's economic recovery following the impacts of the COVID-19 pandemic.</t>
  </si>
  <si>
    <t>Foreign trade, as an engine of growth, played a fundamental role in this recovery.</t>
  </si>
  <si>
    <t xml:space="preserve">However, the international context, characterized by high inflation, geopolitical conflicts, and supply chain disruptions, presented new challenges for the Colombian export sector.
</t>
  </si>
  <si>
    <t xml:space="preserve">The Global Scenario and its Impact on Colombia
The international environment in 2022 was characterized by:
High inflation: Global inflation, driven by factors such as supply chain disruptions and expansionary monetary policies, impacted production costs and the prices of imported products.
</t>
  </si>
  <si>
    <t>Geopolitical uncertainty: Geopolitical conflicts, such as the war in Ukraine, generated volatility in the energy and raw materials markets, affecting the prices and availability of certain products.</t>
  </si>
  <si>
    <t xml:space="preserve">Supply chain disruptions: Although an improvement was observed compared to 2021, supply chain disruptions continued to be a challenge for international trade.
</t>
  </si>
  <si>
    <t xml:space="preserve">These external factors influenced the performance of Colombian foreign trade, creating both opportunities and challenges.
</t>
  </si>
  <si>
    <t xml:space="preserve">3. Key Trends in Colombian Foreign Trade in 2022
Sustained Recovery: Colombian foreign trade continued its recovery process, with growth in both exports and imports.
</t>
  </si>
  <si>
    <t xml:space="preserve">Export diversification: Greater diversification was observed, with growth in exports of non-traditional products such as processed foods, chemicals, and pharmaceuticals.
</t>
  </si>
  <si>
    <t xml:space="preserve">Strengthening e-commerce: E-commerce continued to consolidate itself as an important sales channel for Colombian companies, driven by increasing internet penetration and the use of mobile devices.
</t>
  </si>
  <si>
    <t xml:space="preserve">Greater importance of trade agreements: The trade agreements signed by Colombia, such as the Free Trade Agreement with the United States, played an important role in the recovery of foreign trade.
</t>
  </si>
  <si>
    <t xml:space="preserve">Impact of inflation: Global inflation impacted production costs and the prices of imported products, putting pressure on the competitiveness of Colombian exports.
</t>
  </si>
  <si>
    <t>Sector Analysis
Mining and energy sector: This sector benefited from the recovery in commodity prices, especially oil and coal.</t>
  </si>
  <si>
    <t xml:space="preserve">However, price volatility and environmental concerns posed challenges.
</t>
  </si>
  <si>
    <t xml:space="preserve">Agroindustrial sector: The agroindustrial sector continued to perform well, thanks to global demand for food and the diversification of export supply.
</t>
  </si>
  <si>
    <t xml:space="preserve">Manufacturing sector: The manufacturing sector experienced a gradual recovery, driven by increased domestic and external demand, although it faced challenges related to input shortages and rising production costs.
</t>
  </si>
  <si>
    <t xml:space="preserve">5. Challenges and Opportunities for the Future
Despite the recovery observed in 2022, Colombian foreign trade still faces significant challenges:
Economic uncertainty: The persistence of global inflation and geopolitical uncertainty create challenges for long-term planning.
</t>
  </si>
  <si>
    <t xml:space="preserve">Supply chain disruptions: Disruptions in global supply chains continue to be a challenge for Colombian companies.
</t>
  </si>
  <si>
    <t>Competitiveness: The competitiveness of Colombian exports must improve to face competition from other countries.
6.</t>
  </si>
  <si>
    <t xml:space="preserve">Opportunities:
Digital economy: The acceleration of digitalization offers new opportunities for e-commerce and innovation.
</t>
  </si>
  <si>
    <t xml:space="preserve">Renewable energy: The transition to a more sustainable economy represents an opportunity for the development of renewable energy.
</t>
  </si>
  <si>
    <t>7. Conclusions
2022 was a year of recovery for Colombian foreign trade, but also one of challenges.</t>
  </si>
  <si>
    <t>The war in Ukraine, inflation, and supply chain disruptions were factors that impacted the sector's performance.</t>
  </si>
  <si>
    <t>Detailed Report on Colombia's Foreign Trade in 2023
1.</t>
  </si>
  <si>
    <t>Introduction
The year 2023 marked a turning point in Colombia's economic recovery following the ravages of the COVID-19 pandemic.</t>
  </si>
  <si>
    <t>However, the international context, characterized by high inflation, geopolitical conflicts, and supply chain disruptions, presented new challenges for the Colombian export sector.</t>
  </si>
  <si>
    <t xml:space="preserve">In this report, we will analyze in-depth the performance of Colombian foreign trade this year, identifying the main trends, challenges, and opportunities.
</t>
  </si>
  <si>
    <t xml:space="preserve">The Global Scenario and its Impact on Colombia
The international environment in 2023 was characterized by:
High inflation: Global inflation, driven by factors such as supply chain disruptions and expansionary monetary policies, impacted production costs and the prices of imported products.
</t>
  </si>
  <si>
    <t xml:space="preserve">Geopolitical uncertainty: Geopolitical conflicts, such as the war in Ukraine, generated volatility in the energy and raw materials markets, affecting the prices and availability of certain products.
</t>
  </si>
  <si>
    <t xml:space="preserve">Supply chain disruptions: Although an improvement was observed compared to previous years, supply chain disruptions continued to be a challenge for international trade.
</t>
  </si>
  <si>
    <t xml:space="preserve">3. Key Trends in Colombian Foreign Trade in 2023
Sustained recovery: Colombian foreign trade continued its recovery process, with growth in both exports and imports.
</t>
  </si>
  <si>
    <t xml:space="preserve">Export diversification: Greater diversification of the export basket was observed, with growth in exports of non-traditional products such as processed foods, chemicals, and pharmaceuticals.
</t>
  </si>
  <si>
    <t xml:space="preserve">Strengthening e-commerce: E-commerce continued to consolidate its position as an important sales channel for Colombian companies, driven by growing internet penetration and the use of mobile devices.
</t>
  </si>
  <si>
    <t xml:space="preserve">Greater importance of trade agreements: Trade agreements signed by Colombia, such as the Free Trade Agreement with the United States, played an important role in the recovery of foreign trade.
</t>
  </si>
  <si>
    <t xml:space="preserve">Manufacturing Sector: The manufacturing sector experienced a gradual recovery, driven by increased domestic and external demand, although it faced challenges related to input shortages and rising production costs.
</t>
  </si>
  <si>
    <t xml:space="preserve">5. Challenges and Opportunities for the Future
Despite the recovery observed in 2023, Colombian foreign trade still faces significant challenges:
Economic Uncertainty: The persistence of global inflation and geopolitical uncertainty pose challenges for long-term planning.
</t>
  </si>
  <si>
    <t xml:space="preserve">Supply Chain Disruptions: Disruptions in global supply chains continued to be a challenge for Colombian companies.
</t>
  </si>
  <si>
    <t xml:space="preserve">Opportunities:
Digital Economy: The acceleration of digitalization offers new opportunities for e-commerce and innovation.
</t>
  </si>
  <si>
    <t xml:space="preserve">Renewable Energy: The transition to a more sustainable economy represents an opportunity for the development of renewable energy.
</t>
  </si>
  <si>
    <t>7. Conclusions
2023 was a year of recovery for Colombian foreign trade, but also one of challenges.</t>
  </si>
  <si>
    <t>Amenaza</t>
  </si>
  <si>
    <t>Sentimientos 2020</t>
  </si>
  <si>
    <t>Sentimientos 2021</t>
  </si>
  <si>
    <t>Sentimientos 2022</t>
  </si>
  <si>
    <t>Sentimientos 2023</t>
  </si>
  <si>
    <t>ANÁLISIS DE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</si>
</sst>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'Graficas y Conclusiones'!$B$3:$B$13</c:f>
              <c:strCache>
                <c:ptCount val="11"/>
                <c:pt idx="0">
                  <c:v>Amenaza</c:v>
                </c:pt>
                <c:pt idx="1">
                  <c:v>Pesimismo</c:v>
                </c:pt>
                <c:pt idx="2">
                  <c:v>Inestabilidad</c:v>
                </c:pt>
                <c:pt idx="3">
                  <c:v>Escepticismo</c:v>
                </c:pt>
                <c:pt idx="4">
                  <c:v>Indiferente</c:v>
                </c:pt>
                <c:pt idx="5">
                  <c:v>Neutral</c:v>
                </c:pt>
                <c:pt idx="6">
                  <c:v>Favorable</c:v>
                </c:pt>
                <c:pt idx="7">
                  <c:v>Optimismo</c:v>
                </c:pt>
                <c:pt idx="8">
                  <c:v>Conviccion</c:v>
                </c:pt>
                <c:pt idx="9">
                  <c:v>Consolidacion</c:v>
                </c:pt>
                <c:pt idx="10">
                  <c:v>Confianza</c:v>
                </c:pt>
              </c:strCache>
            </c:strRef>
          </c:cat>
          <c:val>
            <c:numRef>
              <c:f>'Graficas y Conclusiones'!$C$3:$C$13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B-46B0-B003-B77D562C4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643471"/>
        <c:axId val="1648651727"/>
      </c:radarChart>
      <c:catAx>
        <c:axId val="164964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51727"/>
        <c:crosses val="autoZero"/>
        <c:auto val="1"/>
        <c:lblAlgn val="ctr"/>
        <c:lblOffset val="100"/>
        <c:noMultiLvlLbl val="0"/>
      </c:catAx>
      <c:valAx>
        <c:axId val="164865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4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'Graficas y Conclusiones'!$B$17:$B$27</c:f>
              <c:strCache>
                <c:ptCount val="11"/>
                <c:pt idx="0">
                  <c:v>Amenaza</c:v>
                </c:pt>
                <c:pt idx="1">
                  <c:v>Pesimismo</c:v>
                </c:pt>
                <c:pt idx="2">
                  <c:v>Inestabilidad</c:v>
                </c:pt>
                <c:pt idx="3">
                  <c:v>Escepticismo</c:v>
                </c:pt>
                <c:pt idx="4">
                  <c:v>Indiferente</c:v>
                </c:pt>
                <c:pt idx="5">
                  <c:v>Neutral</c:v>
                </c:pt>
                <c:pt idx="6">
                  <c:v>Favorable</c:v>
                </c:pt>
                <c:pt idx="7">
                  <c:v>Optimismo</c:v>
                </c:pt>
                <c:pt idx="8">
                  <c:v>Conviccion</c:v>
                </c:pt>
                <c:pt idx="9">
                  <c:v>Consolidacion</c:v>
                </c:pt>
                <c:pt idx="10">
                  <c:v>Confianza</c:v>
                </c:pt>
              </c:strCache>
            </c:strRef>
          </c:cat>
          <c:val>
            <c:numRef>
              <c:f>'Graficas y Conclusiones'!$C$17:$C$27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B-4537-8205-BF72EF3E5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08223"/>
        <c:axId val="1648637999"/>
      </c:radarChart>
      <c:catAx>
        <c:axId val="164230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37999"/>
        <c:crosses val="autoZero"/>
        <c:auto val="1"/>
        <c:lblAlgn val="ctr"/>
        <c:lblOffset val="100"/>
        <c:noMultiLvlLbl val="0"/>
      </c:catAx>
      <c:valAx>
        <c:axId val="164863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0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</a:p>
        </c:rich>
      </c:tx>
      <c:layout>
        <c:manualLayout>
          <c:xMode val="edge"/>
          <c:yMode val="edge"/>
          <c:x val="0.29081308413348117"/>
          <c:y val="2.2951696618329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'Graficas y Conclusiones'!$B$31:$B$41</c:f>
              <c:strCache>
                <c:ptCount val="11"/>
                <c:pt idx="0">
                  <c:v>Amenaza</c:v>
                </c:pt>
                <c:pt idx="1">
                  <c:v>Pesimismo</c:v>
                </c:pt>
                <c:pt idx="2">
                  <c:v>Inestabilidad</c:v>
                </c:pt>
                <c:pt idx="3">
                  <c:v>Escepticismo</c:v>
                </c:pt>
                <c:pt idx="4">
                  <c:v>Indiferente</c:v>
                </c:pt>
                <c:pt idx="5">
                  <c:v>Neutral</c:v>
                </c:pt>
                <c:pt idx="6">
                  <c:v>Favorable</c:v>
                </c:pt>
                <c:pt idx="7">
                  <c:v>Optimismo</c:v>
                </c:pt>
                <c:pt idx="8">
                  <c:v>Conviccion</c:v>
                </c:pt>
                <c:pt idx="9">
                  <c:v>Consolidacion</c:v>
                </c:pt>
                <c:pt idx="10">
                  <c:v>Confianza</c:v>
                </c:pt>
              </c:strCache>
            </c:strRef>
          </c:cat>
          <c:val>
            <c:numRef>
              <c:f>'Graficas y Conclusiones'!$C$31:$C$41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A-45C6-A482-C2D137C0F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868063"/>
        <c:axId val="1648647983"/>
      </c:radarChart>
      <c:catAx>
        <c:axId val="164586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47983"/>
        <c:crosses val="autoZero"/>
        <c:auto val="1"/>
        <c:lblAlgn val="ctr"/>
        <c:lblOffset val="100"/>
        <c:noMultiLvlLbl val="0"/>
      </c:catAx>
      <c:valAx>
        <c:axId val="164864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6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'Graficas y Conclusiones'!$B$45:$B$55</c:f>
              <c:strCache>
                <c:ptCount val="11"/>
                <c:pt idx="0">
                  <c:v>Amenaza</c:v>
                </c:pt>
                <c:pt idx="1">
                  <c:v>Pesimismo</c:v>
                </c:pt>
                <c:pt idx="2">
                  <c:v>Inestabilidad</c:v>
                </c:pt>
                <c:pt idx="3">
                  <c:v>Escepticismo</c:v>
                </c:pt>
                <c:pt idx="4">
                  <c:v>Indiferente</c:v>
                </c:pt>
                <c:pt idx="5">
                  <c:v>Neutral</c:v>
                </c:pt>
                <c:pt idx="6">
                  <c:v>Favorable</c:v>
                </c:pt>
                <c:pt idx="7">
                  <c:v>Optimismo</c:v>
                </c:pt>
                <c:pt idx="8">
                  <c:v>Conviccion</c:v>
                </c:pt>
                <c:pt idx="9">
                  <c:v>Consolidacion</c:v>
                </c:pt>
                <c:pt idx="10">
                  <c:v>Confianza</c:v>
                </c:pt>
              </c:strCache>
            </c:strRef>
          </c:cat>
          <c:val>
            <c:numRef>
              <c:f>'Graficas y Conclusiones'!$C$45:$C$55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3-459F-B14B-F1367D84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181199"/>
        <c:axId val="1647854399"/>
      </c:radarChart>
      <c:catAx>
        <c:axId val="15951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54399"/>
        <c:crosses val="autoZero"/>
        <c:auto val="1"/>
        <c:lblAlgn val="ctr"/>
        <c:lblOffset val="100"/>
        <c:noMultiLvlLbl val="0"/>
      </c:catAx>
      <c:valAx>
        <c:axId val="164785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8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2020</a:t>
          </a:r>
        </a:p>
      </cx:txPr>
    </cx:title>
    <cx:plotArea>
      <cx:plotAreaRegion>
        <cx:series layoutId="clusteredColumn" uniqueId="{43782536-C091-4216-8618-F1C00552AE0A}">
          <cx:dataId val="0"/>
          <cx:layoutPr>
            <cx:aggregation/>
          </cx:layoutPr>
          <cx:axisId val="1"/>
        </cx:series>
        <cx:series layoutId="paretoLine" ownerIdx="0" uniqueId="{B683D1E4-3C12-47A3-9E7F-954530D57F0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2021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2021</a:t>
          </a:r>
        </a:p>
      </cx:txPr>
    </cx:title>
    <cx:plotArea>
      <cx:plotAreaRegion>
        <cx:series layoutId="clusteredColumn" uniqueId="{10975A9C-03A2-485D-8A50-37A45B5FE3DA}">
          <cx:dataId val="0"/>
          <cx:layoutPr>
            <cx:aggregation/>
          </cx:layoutPr>
          <cx:axisId val="1"/>
        </cx:series>
        <cx:series layoutId="paretoLine" ownerIdx="0" uniqueId="{31E0E883-D5AB-4D2F-9A2A-4CEAEF3A9149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2022</a:t>
          </a:r>
        </a:p>
      </cx:txPr>
    </cx:title>
    <cx:plotArea>
      <cx:plotAreaRegion>
        <cx:series layoutId="clusteredColumn" uniqueId="{3BC45D07-8A46-4EB4-9362-15856989EA0F}">
          <cx:dataId val="0"/>
          <cx:layoutPr>
            <cx:aggregation/>
          </cx:layoutPr>
          <cx:axisId val="1"/>
        </cx:series>
        <cx:series layoutId="paretoLine" ownerIdx="0" uniqueId="{725470BD-58EF-4BEE-B10A-A453F25D228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2023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2023</a:t>
          </a:r>
        </a:p>
      </cx:txPr>
    </cx:title>
    <cx:plotArea>
      <cx:plotAreaRegion>
        <cx:series layoutId="clusteredColumn" uniqueId="{5E970B0F-E133-4EB2-88D6-ABA44D33F0F8}">
          <cx:dataId val="0"/>
          <cx:layoutPr>
            <cx:aggregation/>
          </cx:layoutPr>
          <cx:axisId val="1"/>
        </cx:series>
        <cx:series layoutId="paretoLine" ownerIdx="0" uniqueId="{B10CDCDC-7AB5-4C2F-97F5-D2FC219E80F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microsoft.com/office/2014/relationships/chartEx" Target="../charts/chartEx2.xml"/><Relationship Id="rId7" Type="http://schemas.microsoft.com/office/2014/relationships/chartEx" Target="../charts/chartEx4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microsoft.com/office/2014/relationships/chartEx" Target="../charts/chartEx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361064</xdr:colOff>
      <xdr:row>1</xdr:row>
      <xdr:rowOff>0</xdr:rowOff>
    </xdr:from>
    <xdr:to>
      <xdr:col>7</xdr:col>
      <xdr:colOff>664535</xdr:colOff>
      <xdr:row>13</xdr:row>
      <xdr:rowOff>11076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DCB4809-1721-42F2-ABBE-68AF6703D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7114" y="190500"/>
              <a:ext cx="3351471" cy="22970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12182</xdr:colOff>
      <xdr:row>1</xdr:row>
      <xdr:rowOff>11075</xdr:rowOff>
    </xdr:from>
    <xdr:to>
      <xdr:col>12</xdr:col>
      <xdr:colOff>0</xdr:colOff>
      <xdr:row>12</xdr:row>
      <xdr:rowOff>177209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12313C-7123-43A6-990E-273794AC1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332267</xdr:colOff>
      <xdr:row>15</xdr:row>
      <xdr:rowOff>22150</xdr:rowOff>
    </xdr:from>
    <xdr:to>
      <xdr:col>7</xdr:col>
      <xdr:colOff>664535</xdr:colOff>
      <xdr:row>26</xdr:row>
      <xdr:rowOff>166133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32806EE-105D-4DE3-BD01-460753AA25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8317" y="2879650"/>
              <a:ext cx="3380268" cy="22394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14</xdr:row>
      <xdr:rowOff>177209</xdr:rowOff>
    </xdr:from>
    <xdr:to>
      <xdr:col>12</xdr:col>
      <xdr:colOff>11076</xdr:colOff>
      <xdr:row>26</xdr:row>
      <xdr:rowOff>177209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88F094-4159-45C0-9A50-7DE1289E1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344450</xdr:colOff>
      <xdr:row>28</xdr:row>
      <xdr:rowOff>178980</xdr:rowOff>
    </xdr:from>
    <xdr:to>
      <xdr:col>7</xdr:col>
      <xdr:colOff>653459</xdr:colOff>
      <xdr:row>40</xdr:row>
      <xdr:rowOff>177209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48C39AC5-6C5D-44AE-B119-7F9650B4E6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0500" y="5512980"/>
              <a:ext cx="3357009" cy="22842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1107</xdr:colOff>
      <xdr:row>28</xdr:row>
      <xdr:rowOff>167905</xdr:rowOff>
    </xdr:from>
    <xdr:to>
      <xdr:col>12</xdr:col>
      <xdr:colOff>11076</xdr:colOff>
      <xdr:row>41</xdr:row>
      <xdr:rowOff>11075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D4487FC-A334-4966-8309-800D4DAB8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557101</xdr:colOff>
      <xdr:row>43</xdr:row>
      <xdr:rowOff>24752</xdr:rowOff>
    </xdr:from>
    <xdr:to>
      <xdr:col>8</xdr:col>
      <xdr:colOff>70883</xdr:colOff>
      <xdr:row>55</xdr:row>
      <xdr:rowOff>22980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BA86A180-D161-4D98-A79E-1899CB1001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7914" y="8216252"/>
              <a:ext cx="3323782" cy="22842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167794</xdr:colOff>
      <xdr:row>43</xdr:row>
      <xdr:rowOff>13677</xdr:rowOff>
    </xdr:from>
    <xdr:to>
      <xdr:col>12</xdr:col>
      <xdr:colOff>157828</xdr:colOff>
      <xdr:row>55</xdr:row>
      <xdr:rowOff>11906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0574A71-D991-49A0-A830-8B1C390C7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683559</xdr:colOff>
      <xdr:row>2</xdr:row>
      <xdr:rowOff>134471</xdr:rowOff>
    </xdr:from>
    <xdr:to>
      <xdr:col>18</xdr:col>
      <xdr:colOff>560294</xdr:colOff>
      <xdr:row>10</xdr:row>
      <xdr:rowOff>22412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3C75A37-F208-4DEB-88CA-81A3F8D9634A}"/>
            </a:ext>
          </a:extLst>
        </xdr:cNvPr>
        <xdr:cNvSpPr txBox="1"/>
      </xdr:nvSpPr>
      <xdr:spPr>
        <a:xfrm>
          <a:off x="10230971" y="515471"/>
          <a:ext cx="4448735" cy="1411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análisis revela un discurso con predominio de neutralidad (8 puntos), acompañado de elementos positivos como Optimismo (6), Conviction (6) y Consolidación (6), que sugieren un mensaje con intención constructiva. Sin embargo, persisten matices críticos (Escepticismo 2) y preocupaciones (Inestabilidad 5), mientras que la ausencia total de Confianza (0) y la débil presencia de Amenaza (0) y Pesimismo (2) indican un tono general mesurado.</a:t>
          </a:r>
          <a:endParaRPr lang="en-US" sz="1100" b="0"/>
        </a:p>
      </xdr:txBody>
    </xdr:sp>
    <xdr:clientData/>
  </xdr:twoCellAnchor>
  <xdr:twoCellAnchor>
    <xdr:from>
      <xdr:col>12</xdr:col>
      <xdr:colOff>728954</xdr:colOff>
      <xdr:row>15</xdr:row>
      <xdr:rowOff>174950</xdr:rowOff>
    </xdr:from>
    <xdr:to>
      <xdr:col>19</xdr:col>
      <xdr:colOff>174949</xdr:colOff>
      <xdr:row>26</xdr:row>
      <xdr:rowOff>77756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F13DD223-A994-4477-8034-A52AFC233D8C}"/>
            </a:ext>
          </a:extLst>
        </xdr:cNvPr>
        <xdr:cNvSpPr txBox="1"/>
      </xdr:nvSpPr>
      <xdr:spPr>
        <a:xfrm>
          <a:off x="10234515" y="3090766"/>
          <a:ext cx="4752781" cy="2041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análisis comparativo revela que el discurso de 2021 evolucionó significativamente respecto a 2020, mostrando un tono más equilibrado y optimista. La neutralidad se disparó de 8 a 13 puntos (dominando el mensaje), el optimismo creció de 6 a 7 puntos, consolidándose como segundo sentimiento clave. Los elementos 'negativos' se redujeron (inestabilidad de 5 a 1, escepticismo de 2 a 1), reflejando una superación de crisis percibidas, aunque persiste cierta cautela (la confianza solo subió de 0 a 1 punto). Llama la atención el contraste entre el aumento del optimismo y la caída de la consolidación (de 6 a 3 puntos), sugiriendo un mensaje que combina esperanza con realismo, evitando triunfalismos excesivos mientras mantiene un tono predominantemente mesurado y estable.</a:t>
          </a:r>
          <a:endParaRPr lang="en-US" sz="1100" b="0"/>
        </a:p>
      </xdr:txBody>
    </xdr:sp>
    <xdr:clientData/>
  </xdr:twoCellAnchor>
  <xdr:twoCellAnchor>
    <xdr:from>
      <xdr:col>12</xdr:col>
      <xdr:colOff>660919</xdr:colOff>
      <xdr:row>29</xdr:row>
      <xdr:rowOff>48597</xdr:rowOff>
    </xdr:from>
    <xdr:to>
      <xdr:col>19</xdr:col>
      <xdr:colOff>184668</xdr:colOff>
      <xdr:row>35</xdr:row>
      <xdr:rowOff>184669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4C4D5B3-049B-4B62-A274-72C39E40ABF5}"/>
            </a:ext>
          </a:extLst>
        </xdr:cNvPr>
        <xdr:cNvSpPr txBox="1"/>
      </xdr:nvSpPr>
      <xdr:spPr>
        <a:xfrm>
          <a:off x="10166480" y="5685842"/>
          <a:ext cx="4830535" cy="13023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neutralidad (5 puntos) y la convicción (5 puntos) estan a la par, indicando un mensaje que busca proyectar seguridad sin perder objetividad. Los elementos positivos se distribuyen entre consolidación (4 puntos), optimismo (3) y favorable (3), mostrando una visión moderadamente constructiva, mientras que la inestabilidad (3 puntos) persiste como principal preocupación, aunque en menor medida que en 2020 (5 puntos) y 2021 (1 punto). </a:t>
          </a:r>
          <a:endParaRPr lang="en-US" sz="1100" b="0"/>
        </a:p>
      </xdr:txBody>
    </xdr:sp>
    <xdr:clientData/>
  </xdr:twoCellAnchor>
  <xdr:twoCellAnchor>
    <xdr:from>
      <xdr:col>12</xdr:col>
      <xdr:colOff>748393</xdr:colOff>
      <xdr:row>43</xdr:row>
      <xdr:rowOff>68036</xdr:rowOff>
    </xdr:from>
    <xdr:to>
      <xdr:col>18</xdr:col>
      <xdr:colOff>58316</xdr:colOff>
      <xdr:row>49</xdr:row>
      <xdr:rowOff>174949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F55969A1-DE59-4701-A0FE-D44450C3679E}"/>
            </a:ext>
          </a:extLst>
        </xdr:cNvPr>
        <xdr:cNvSpPr txBox="1"/>
      </xdr:nvSpPr>
      <xdr:spPr>
        <a:xfrm>
          <a:off x="10253954" y="8426709"/>
          <a:ext cx="3858597" cy="1273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 neutralidad (6 puntos) es el que tiene más frases, seguido de conviccion (4) y consolidación (4), reflejando un mensaje técnico y objetivo. Persiste una dualidad interesante: mientras los elementos positivos (optimismo y favorable con 3 puntos cada uno) mantienen su intensidad respecto a 2022, la inestabilidad (3 puntos) se mantiene estable.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>
        <v>2020</v>
      </c>
    </row>
    <row r="3" spans="1:4" x14ac:dyDescent="0.25">
      <c r="A3" t="s">
        <v>6</v>
      </c>
      <c r="B3">
        <v>-0.29599999999999999</v>
      </c>
      <c r="C3" t="s">
        <v>7</v>
      </c>
      <c r="D3">
        <v>2020</v>
      </c>
    </row>
    <row r="4" spans="1:4" x14ac:dyDescent="0.25">
      <c r="A4" t="s">
        <v>8</v>
      </c>
      <c r="B4">
        <v>-0.68079999999999996</v>
      </c>
      <c r="C4" t="s">
        <v>9</v>
      </c>
      <c r="D4">
        <v>2020</v>
      </c>
    </row>
    <row r="5" spans="1:4" x14ac:dyDescent="0.25">
      <c r="A5" t="s">
        <v>10</v>
      </c>
      <c r="B5">
        <v>0.2263</v>
      </c>
      <c r="C5" t="s">
        <v>11</v>
      </c>
      <c r="D5">
        <v>2020</v>
      </c>
    </row>
    <row r="6" spans="1:4" x14ac:dyDescent="0.25">
      <c r="A6" t="s">
        <v>12</v>
      </c>
      <c r="B6">
        <v>0</v>
      </c>
      <c r="C6" t="s">
        <v>5</v>
      </c>
      <c r="D6">
        <v>2020</v>
      </c>
    </row>
    <row r="7" spans="1:4" x14ac:dyDescent="0.25">
      <c r="A7" t="s">
        <v>13</v>
      </c>
      <c r="B7">
        <v>-0.59940000000000004</v>
      </c>
      <c r="C7" t="s">
        <v>9</v>
      </c>
      <c r="D7">
        <v>2020</v>
      </c>
    </row>
    <row r="8" spans="1:4" x14ac:dyDescent="0.25">
      <c r="A8" t="s">
        <v>14</v>
      </c>
      <c r="B8">
        <v>-0.38179999999999997</v>
      </c>
      <c r="C8" t="s">
        <v>15</v>
      </c>
      <c r="D8">
        <v>2020</v>
      </c>
    </row>
    <row r="9" spans="1:4" x14ac:dyDescent="0.25">
      <c r="A9" t="s">
        <v>16</v>
      </c>
      <c r="B9">
        <v>0</v>
      </c>
      <c r="C9" t="s">
        <v>5</v>
      </c>
      <c r="D9">
        <v>2020</v>
      </c>
    </row>
    <row r="10" spans="1:4" x14ac:dyDescent="0.25">
      <c r="A10" t="s">
        <v>17</v>
      </c>
      <c r="B10">
        <v>0.44040000000000001</v>
      </c>
      <c r="C10" t="s">
        <v>18</v>
      </c>
      <c r="D10">
        <v>2020</v>
      </c>
    </row>
    <row r="11" spans="1:4" x14ac:dyDescent="0.25">
      <c r="A11" t="s">
        <v>19</v>
      </c>
      <c r="B11">
        <v>-0.52669999999999995</v>
      </c>
      <c r="C11" t="s">
        <v>9</v>
      </c>
      <c r="D11">
        <v>2020</v>
      </c>
    </row>
    <row r="12" spans="1:4" x14ac:dyDescent="0.25">
      <c r="A12" t="s">
        <v>20</v>
      </c>
      <c r="B12">
        <v>-0.70960000000000001</v>
      </c>
      <c r="C12" t="s">
        <v>21</v>
      </c>
      <c r="D12">
        <v>2020</v>
      </c>
    </row>
    <row r="13" spans="1:4" x14ac:dyDescent="0.25">
      <c r="A13" t="s">
        <v>22</v>
      </c>
      <c r="B13">
        <v>0.83599999999999997</v>
      </c>
      <c r="C13" t="s">
        <v>23</v>
      </c>
      <c r="D13">
        <v>2020</v>
      </c>
    </row>
    <row r="14" spans="1:4" x14ac:dyDescent="0.25">
      <c r="A14" t="s">
        <v>24</v>
      </c>
      <c r="B14">
        <v>-0.55200000000000005</v>
      </c>
      <c r="C14" t="s">
        <v>9</v>
      </c>
      <c r="D14">
        <v>2020</v>
      </c>
    </row>
    <row r="15" spans="1:4" x14ac:dyDescent="0.25">
      <c r="A15" t="s">
        <v>25</v>
      </c>
      <c r="B15">
        <v>-0.42149999999999999</v>
      </c>
      <c r="C15" t="s">
        <v>15</v>
      </c>
      <c r="D15">
        <v>2020</v>
      </c>
    </row>
    <row r="16" spans="1:4" x14ac:dyDescent="0.25">
      <c r="A16" t="s">
        <v>26</v>
      </c>
      <c r="B16">
        <v>0.64859999999999995</v>
      </c>
      <c r="C16" t="s">
        <v>27</v>
      </c>
      <c r="D16">
        <v>2020</v>
      </c>
    </row>
    <row r="17" spans="1:4" x14ac:dyDescent="0.25">
      <c r="A17" t="s">
        <v>28</v>
      </c>
      <c r="B17">
        <v>0.84809999999999997</v>
      </c>
      <c r="C17" t="s">
        <v>23</v>
      </c>
      <c r="D17">
        <v>2020</v>
      </c>
    </row>
    <row r="18" spans="1:4" x14ac:dyDescent="0.25">
      <c r="A18" t="s">
        <v>29</v>
      </c>
      <c r="B18">
        <v>0.38179999999999997</v>
      </c>
      <c r="C18" t="s">
        <v>18</v>
      </c>
      <c r="D18">
        <v>2020</v>
      </c>
    </row>
    <row r="19" spans="1:4" x14ac:dyDescent="0.25">
      <c r="A19" t="s">
        <v>30</v>
      </c>
      <c r="B19">
        <v>0.62490000000000001</v>
      </c>
      <c r="C19" t="s">
        <v>27</v>
      </c>
      <c r="D19">
        <v>2020</v>
      </c>
    </row>
    <row r="20" spans="1:4" x14ac:dyDescent="0.25">
      <c r="A20" t="s">
        <v>31</v>
      </c>
      <c r="B20">
        <v>0</v>
      </c>
      <c r="C20" t="s">
        <v>5</v>
      </c>
      <c r="D20">
        <v>2020</v>
      </c>
    </row>
    <row r="21" spans="1:4" x14ac:dyDescent="0.25">
      <c r="A21" t="s">
        <v>32</v>
      </c>
      <c r="B21">
        <v>-0.75060000000000004</v>
      </c>
      <c r="C21" t="s">
        <v>21</v>
      </c>
      <c r="D21">
        <v>2020</v>
      </c>
    </row>
    <row r="22" spans="1:4" x14ac:dyDescent="0.25">
      <c r="A22" t="s">
        <v>33</v>
      </c>
      <c r="B22">
        <v>-0.51060000000000005</v>
      </c>
      <c r="C22" t="s">
        <v>9</v>
      </c>
      <c r="D22">
        <v>2020</v>
      </c>
    </row>
    <row r="23" spans="1:4" x14ac:dyDescent="0.25">
      <c r="A23" t="s">
        <v>34</v>
      </c>
      <c r="B23">
        <v>0.49390000000000001</v>
      </c>
      <c r="C23" t="s">
        <v>18</v>
      </c>
      <c r="D23">
        <v>2020</v>
      </c>
    </row>
    <row r="24" spans="1:4" x14ac:dyDescent="0.25">
      <c r="A24" t="s">
        <v>35</v>
      </c>
      <c r="B24">
        <v>0</v>
      </c>
      <c r="C24" t="s">
        <v>5</v>
      </c>
      <c r="D24">
        <v>2020</v>
      </c>
    </row>
    <row r="25" spans="1:4" x14ac:dyDescent="0.25">
      <c r="A25" t="s">
        <v>36</v>
      </c>
      <c r="B25">
        <v>0.7359</v>
      </c>
      <c r="C25" t="s">
        <v>23</v>
      </c>
      <c r="D25">
        <v>2020</v>
      </c>
    </row>
    <row r="26" spans="1:4" x14ac:dyDescent="0.25">
      <c r="A26" t="s">
        <v>37</v>
      </c>
      <c r="B26">
        <v>0.85550000000000004</v>
      </c>
      <c r="C26" t="s">
        <v>23</v>
      </c>
      <c r="D26">
        <v>2020</v>
      </c>
    </row>
    <row r="27" spans="1:4" x14ac:dyDescent="0.25">
      <c r="A27" t="s">
        <v>38</v>
      </c>
      <c r="B27">
        <v>0.58589999999999998</v>
      </c>
      <c r="C27" t="s">
        <v>27</v>
      </c>
      <c r="D27">
        <v>2020</v>
      </c>
    </row>
    <row r="28" spans="1:4" x14ac:dyDescent="0.25">
      <c r="A28" t="s">
        <v>39</v>
      </c>
      <c r="B28">
        <v>0.42149999999999999</v>
      </c>
      <c r="C28" t="s">
        <v>18</v>
      </c>
      <c r="D28">
        <v>2020</v>
      </c>
    </row>
    <row r="29" spans="1:4" x14ac:dyDescent="0.25">
      <c r="A29" t="s">
        <v>40</v>
      </c>
      <c r="B29">
        <v>0.86250000000000004</v>
      </c>
      <c r="C29" t="s">
        <v>23</v>
      </c>
      <c r="D29">
        <v>2020</v>
      </c>
    </row>
    <row r="30" spans="1:4" x14ac:dyDescent="0.25">
      <c r="A30" t="s">
        <v>41</v>
      </c>
      <c r="B30">
        <v>0</v>
      </c>
      <c r="C30" t="s">
        <v>5</v>
      </c>
      <c r="D30">
        <v>2020</v>
      </c>
    </row>
    <row r="31" spans="1:4" x14ac:dyDescent="0.25">
      <c r="A31" t="s">
        <v>42</v>
      </c>
      <c r="B31">
        <v>2.58E-2</v>
      </c>
      <c r="C31" t="s">
        <v>5</v>
      </c>
      <c r="D31">
        <v>2020</v>
      </c>
    </row>
    <row r="32" spans="1:4" x14ac:dyDescent="0.25">
      <c r="A32" t="s">
        <v>43</v>
      </c>
      <c r="B32">
        <v>0.59940000000000004</v>
      </c>
      <c r="C32" t="s">
        <v>27</v>
      </c>
      <c r="D32">
        <v>2020</v>
      </c>
    </row>
    <row r="33" spans="1:4" x14ac:dyDescent="0.25">
      <c r="A33" t="s">
        <v>44</v>
      </c>
      <c r="B33">
        <v>0.83160000000000001</v>
      </c>
      <c r="C33" t="s">
        <v>23</v>
      </c>
      <c r="D33">
        <v>2020</v>
      </c>
    </row>
    <row r="34" spans="1:4" x14ac:dyDescent="0.25">
      <c r="A34" t="s">
        <v>45</v>
      </c>
      <c r="B34">
        <v>0</v>
      </c>
      <c r="C34" t="s">
        <v>5</v>
      </c>
      <c r="D34">
        <v>2020</v>
      </c>
    </row>
    <row r="35" spans="1:4" x14ac:dyDescent="0.25">
      <c r="A35" t="s">
        <v>46</v>
      </c>
      <c r="B35">
        <v>0.65969999999999995</v>
      </c>
      <c r="C35" t="s">
        <v>27</v>
      </c>
      <c r="D35">
        <v>2020</v>
      </c>
    </row>
    <row r="36" spans="1:4" x14ac:dyDescent="0.25">
      <c r="A36" t="s">
        <v>47</v>
      </c>
      <c r="B36">
        <v>0.62490000000000001</v>
      </c>
      <c r="C36" t="s">
        <v>27</v>
      </c>
      <c r="D36">
        <v>2020</v>
      </c>
    </row>
    <row r="37" spans="1:4" x14ac:dyDescent="0.25">
      <c r="A37" t="s">
        <v>48</v>
      </c>
      <c r="B37">
        <v>0.38179999999999997</v>
      </c>
      <c r="C37" t="s">
        <v>18</v>
      </c>
      <c r="D37">
        <v>2020</v>
      </c>
    </row>
    <row r="38" spans="1:4" x14ac:dyDescent="0.25">
      <c r="A38" t="s">
        <v>49</v>
      </c>
      <c r="B38">
        <v>0</v>
      </c>
      <c r="C38" t="s">
        <v>5</v>
      </c>
      <c r="D38">
        <v>2021</v>
      </c>
    </row>
    <row r="39" spans="1:4" x14ac:dyDescent="0.25">
      <c r="A39" t="s">
        <v>50</v>
      </c>
      <c r="B39">
        <v>0</v>
      </c>
      <c r="C39" t="s">
        <v>5</v>
      </c>
      <c r="D39">
        <v>2021</v>
      </c>
    </row>
    <row r="40" spans="1:4" x14ac:dyDescent="0.25">
      <c r="A40" t="s">
        <v>51</v>
      </c>
      <c r="B40">
        <v>0.31819999999999998</v>
      </c>
      <c r="C40" t="s">
        <v>18</v>
      </c>
      <c r="D40">
        <v>2021</v>
      </c>
    </row>
    <row r="41" spans="1:4" x14ac:dyDescent="0.25">
      <c r="A41" t="s">
        <v>52</v>
      </c>
      <c r="B41">
        <v>0.2263</v>
      </c>
      <c r="C41" t="s">
        <v>11</v>
      </c>
      <c r="D41">
        <v>2021</v>
      </c>
    </row>
    <row r="42" spans="1:4" x14ac:dyDescent="0.25">
      <c r="A42" t="s">
        <v>12</v>
      </c>
      <c r="B42">
        <v>0</v>
      </c>
      <c r="C42" t="s">
        <v>5</v>
      </c>
      <c r="D42">
        <v>2021</v>
      </c>
    </row>
    <row r="43" spans="1:4" x14ac:dyDescent="0.25">
      <c r="A43" t="s">
        <v>53</v>
      </c>
      <c r="B43">
        <v>0</v>
      </c>
      <c r="C43" t="s">
        <v>5</v>
      </c>
      <c r="D43">
        <v>2021</v>
      </c>
    </row>
    <row r="44" spans="1:4" x14ac:dyDescent="0.25">
      <c r="A44" t="s">
        <v>54</v>
      </c>
      <c r="B44">
        <v>-0.80200000000000005</v>
      </c>
      <c r="C44" t="s">
        <v>21</v>
      </c>
      <c r="D44">
        <v>2021</v>
      </c>
    </row>
    <row r="45" spans="1:4" x14ac:dyDescent="0.25">
      <c r="A45" t="s">
        <v>55</v>
      </c>
      <c r="B45">
        <v>2.58E-2</v>
      </c>
      <c r="C45" t="s">
        <v>5</v>
      </c>
      <c r="D45">
        <v>2021</v>
      </c>
    </row>
    <row r="46" spans="1:4" x14ac:dyDescent="0.25">
      <c r="A46" t="s">
        <v>56</v>
      </c>
      <c r="B46">
        <v>0</v>
      </c>
      <c r="C46" t="s">
        <v>5</v>
      </c>
      <c r="D46">
        <v>2021</v>
      </c>
    </row>
    <row r="47" spans="1:4" x14ac:dyDescent="0.25">
      <c r="A47" t="s">
        <v>57</v>
      </c>
      <c r="B47">
        <v>0.5423</v>
      </c>
      <c r="C47" t="s">
        <v>27</v>
      </c>
      <c r="D47">
        <v>2021</v>
      </c>
    </row>
    <row r="48" spans="1:4" x14ac:dyDescent="0.25">
      <c r="A48" t="s">
        <v>58</v>
      </c>
      <c r="B48">
        <v>7.7200000000000005E-2</v>
      </c>
      <c r="C48" t="s">
        <v>5</v>
      </c>
      <c r="D48">
        <v>2021</v>
      </c>
    </row>
    <row r="49" spans="1:4" x14ac:dyDescent="0.25">
      <c r="A49" t="s">
        <v>59</v>
      </c>
      <c r="B49">
        <v>-0.128</v>
      </c>
      <c r="C49" t="s">
        <v>7</v>
      </c>
      <c r="D49">
        <v>2021</v>
      </c>
    </row>
    <row r="50" spans="1:4" x14ac:dyDescent="0.25">
      <c r="A50" t="s">
        <v>60</v>
      </c>
      <c r="B50">
        <v>0.38179999999999997</v>
      </c>
      <c r="C50" t="s">
        <v>18</v>
      </c>
      <c r="D50">
        <v>2021</v>
      </c>
    </row>
    <row r="51" spans="1:4" x14ac:dyDescent="0.25">
      <c r="A51" t="s">
        <v>61</v>
      </c>
      <c r="B51">
        <v>0.15310000000000001</v>
      </c>
      <c r="C51" t="s">
        <v>11</v>
      </c>
      <c r="D51">
        <v>2021</v>
      </c>
    </row>
    <row r="52" spans="1:4" x14ac:dyDescent="0.25">
      <c r="A52" t="s">
        <v>62</v>
      </c>
      <c r="B52">
        <v>0</v>
      </c>
      <c r="C52" t="s">
        <v>5</v>
      </c>
      <c r="D52">
        <v>2021</v>
      </c>
    </row>
    <row r="53" spans="1:4" x14ac:dyDescent="0.25">
      <c r="A53" t="s">
        <v>63</v>
      </c>
      <c r="B53">
        <v>0.62490000000000001</v>
      </c>
      <c r="C53" t="s">
        <v>27</v>
      </c>
      <c r="D53">
        <v>2021</v>
      </c>
    </row>
    <row r="54" spans="1:4" x14ac:dyDescent="0.25">
      <c r="A54" t="s">
        <v>64</v>
      </c>
      <c r="B54">
        <v>0.61240000000000006</v>
      </c>
      <c r="C54" t="s">
        <v>27</v>
      </c>
      <c r="D54">
        <v>2021</v>
      </c>
    </row>
    <row r="55" spans="1:4" x14ac:dyDescent="0.25">
      <c r="A55" t="s">
        <v>65</v>
      </c>
      <c r="B55">
        <v>0.72689999999999999</v>
      </c>
      <c r="C55" t="s">
        <v>23</v>
      </c>
      <c r="D55">
        <v>2021</v>
      </c>
    </row>
    <row r="56" spans="1:4" x14ac:dyDescent="0.25">
      <c r="A56" t="s">
        <v>66</v>
      </c>
      <c r="B56">
        <v>0.9274</v>
      </c>
      <c r="C56" t="s">
        <v>67</v>
      </c>
      <c r="D56">
        <v>2021</v>
      </c>
    </row>
    <row r="57" spans="1:4" x14ac:dyDescent="0.25">
      <c r="A57" t="s">
        <v>31</v>
      </c>
      <c r="B57">
        <v>0</v>
      </c>
      <c r="C57" t="s">
        <v>5</v>
      </c>
      <c r="D57">
        <v>2021</v>
      </c>
    </row>
    <row r="58" spans="1:4" x14ac:dyDescent="0.25">
      <c r="A58" t="s">
        <v>68</v>
      </c>
      <c r="B58">
        <v>0.2732</v>
      </c>
      <c r="C58" t="s">
        <v>11</v>
      </c>
      <c r="D58">
        <v>2021</v>
      </c>
    </row>
    <row r="59" spans="1:4" x14ac:dyDescent="0.25">
      <c r="A59" t="s">
        <v>69</v>
      </c>
      <c r="B59">
        <v>0.40189999999999998</v>
      </c>
      <c r="C59" t="s">
        <v>18</v>
      </c>
      <c r="D59">
        <v>2021</v>
      </c>
    </row>
    <row r="60" spans="1:4" x14ac:dyDescent="0.25">
      <c r="A60" t="s">
        <v>70</v>
      </c>
      <c r="B60">
        <v>0</v>
      </c>
      <c r="C60" t="s">
        <v>5</v>
      </c>
      <c r="D60">
        <v>2021</v>
      </c>
    </row>
    <row r="61" spans="1:4" x14ac:dyDescent="0.25">
      <c r="A61" t="s">
        <v>71</v>
      </c>
      <c r="B61">
        <v>0.5423</v>
      </c>
      <c r="C61" t="s">
        <v>27</v>
      </c>
      <c r="D61">
        <v>2021</v>
      </c>
    </row>
    <row r="62" spans="1:4" x14ac:dyDescent="0.25">
      <c r="A62" t="s">
        <v>72</v>
      </c>
      <c r="B62">
        <v>0</v>
      </c>
      <c r="C62" t="s">
        <v>5</v>
      </c>
      <c r="D62">
        <v>2021</v>
      </c>
    </row>
    <row r="63" spans="1:4" x14ac:dyDescent="0.25">
      <c r="A63" t="s">
        <v>73</v>
      </c>
      <c r="B63">
        <v>0.15310000000000001</v>
      </c>
      <c r="C63" t="s">
        <v>11</v>
      </c>
      <c r="D63">
        <v>2021</v>
      </c>
    </row>
    <row r="64" spans="1:4" x14ac:dyDescent="0.25">
      <c r="A64" t="s">
        <v>74</v>
      </c>
      <c r="B64">
        <v>0.38179999999999997</v>
      </c>
      <c r="C64" t="s">
        <v>18</v>
      </c>
      <c r="D64">
        <v>2021</v>
      </c>
    </row>
    <row r="65" spans="1:4" x14ac:dyDescent="0.25">
      <c r="A65" t="s">
        <v>75</v>
      </c>
      <c r="B65">
        <v>-0.34</v>
      </c>
      <c r="C65" t="s">
        <v>15</v>
      </c>
      <c r="D65">
        <v>2021</v>
      </c>
    </row>
    <row r="66" spans="1:4" x14ac:dyDescent="0.25">
      <c r="A66" t="s">
        <v>76</v>
      </c>
      <c r="B66">
        <v>-0.5423</v>
      </c>
      <c r="C66" t="s">
        <v>9</v>
      </c>
      <c r="D66">
        <v>2021</v>
      </c>
    </row>
    <row r="67" spans="1:4" x14ac:dyDescent="0.25">
      <c r="A67" t="s">
        <v>77</v>
      </c>
      <c r="B67">
        <v>0</v>
      </c>
      <c r="C67" t="s">
        <v>5</v>
      </c>
      <c r="D67">
        <v>2021</v>
      </c>
    </row>
    <row r="68" spans="1:4" x14ac:dyDescent="0.25">
      <c r="A68" t="s">
        <v>78</v>
      </c>
      <c r="B68">
        <v>0.44040000000000001</v>
      </c>
      <c r="C68" t="s">
        <v>18</v>
      </c>
      <c r="D68">
        <v>2021</v>
      </c>
    </row>
    <row r="69" spans="1:4" x14ac:dyDescent="0.25">
      <c r="A69" t="s">
        <v>41</v>
      </c>
      <c r="B69">
        <v>0</v>
      </c>
      <c r="C69" t="s">
        <v>5</v>
      </c>
      <c r="D69">
        <v>2021</v>
      </c>
    </row>
    <row r="70" spans="1:4" x14ac:dyDescent="0.25">
      <c r="A70" t="s">
        <v>79</v>
      </c>
      <c r="B70">
        <v>0.38179999999999997</v>
      </c>
      <c r="C70" t="s">
        <v>18</v>
      </c>
      <c r="D70">
        <v>2021</v>
      </c>
    </row>
    <row r="71" spans="1:4" x14ac:dyDescent="0.25">
      <c r="A71" t="s">
        <v>80</v>
      </c>
      <c r="B71">
        <v>0.63690000000000002</v>
      </c>
      <c r="C71" t="s">
        <v>27</v>
      </c>
      <c r="D71">
        <v>2021</v>
      </c>
    </row>
    <row r="72" spans="1:4" x14ac:dyDescent="0.25">
      <c r="A72" t="s">
        <v>81</v>
      </c>
      <c r="B72">
        <v>0.2732</v>
      </c>
      <c r="C72" t="s">
        <v>11</v>
      </c>
      <c r="D72">
        <v>2021</v>
      </c>
    </row>
    <row r="73" spans="1:4" x14ac:dyDescent="0.25">
      <c r="A73" t="s">
        <v>82</v>
      </c>
      <c r="B73">
        <v>0.59940000000000004</v>
      </c>
      <c r="C73" t="s">
        <v>27</v>
      </c>
      <c r="D73">
        <v>2021</v>
      </c>
    </row>
    <row r="74" spans="1:4" x14ac:dyDescent="0.25">
      <c r="A74" t="s">
        <v>83</v>
      </c>
      <c r="B74">
        <v>0.81259999999999999</v>
      </c>
      <c r="C74" t="s">
        <v>23</v>
      </c>
      <c r="D74">
        <v>2021</v>
      </c>
    </row>
    <row r="75" spans="1:4" x14ac:dyDescent="0.25">
      <c r="A75" t="s">
        <v>84</v>
      </c>
      <c r="B75">
        <v>0.39190000000000003</v>
      </c>
      <c r="C75" t="s">
        <v>18</v>
      </c>
      <c r="D75">
        <v>2021</v>
      </c>
    </row>
    <row r="76" spans="1:4" x14ac:dyDescent="0.25">
      <c r="A76" t="s">
        <v>85</v>
      </c>
      <c r="B76">
        <v>0.83160000000000001</v>
      </c>
      <c r="C76" t="s">
        <v>23</v>
      </c>
      <c r="D76">
        <v>2021</v>
      </c>
    </row>
    <row r="77" spans="1:4" x14ac:dyDescent="0.25">
      <c r="A77" t="s">
        <v>86</v>
      </c>
      <c r="B77">
        <v>0</v>
      </c>
      <c r="C77" t="s">
        <v>5</v>
      </c>
      <c r="D77">
        <v>2022</v>
      </c>
    </row>
    <row r="78" spans="1:4" x14ac:dyDescent="0.25">
      <c r="A78" t="s">
        <v>87</v>
      </c>
      <c r="B78">
        <v>0.20230000000000001</v>
      </c>
      <c r="C78" t="s">
        <v>11</v>
      </c>
      <c r="D78">
        <v>2022</v>
      </c>
    </row>
    <row r="79" spans="1:4" x14ac:dyDescent="0.25">
      <c r="A79" t="s">
        <v>88</v>
      </c>
      <c r="B79">
        <v>0.61240000000000006</v>
      </c>
      <c r="C79" t="s">
        <v>27</v>
      </c>
      <c r="D79">
        <v>2022</v>
      </c>
    </row>
    <row r="80" spans="1:4" x14ac:dyDescent="0.25">
      <c r="A80" t="s">
        <v>89</v>
      </c>
      <c r="B80">
        <v>-0.57189999999999996</v>
      </c>
      <c r="C80" t="s">
        <v>9</v>
      </c>
      <c r="D80">
        <v>2022</v>
      </c>
    </row>
    <row r="81" spans="1:4" x14ac:dyDescent="0.25">
      <c r="A81" t="s">
        <v>12</v>
      </c>
      <c r="B81">
        <v>0</v>
      </c>
      <c r="C81" t="s">
        <v>5</v>
      </c>
      <c r="D81">
        <v>2022</v>
      </c>
    </row>
    <row r="82" spans="1:4" x14ac:dyDescent="0.25">
      <c r="A82" t="s">
        <v>90</v>
      </c>
      <c r="B82">
        <v>-0.34</v>
      </c>
      <c r="C82" t="s">
        <v>15</v>
      </c>
      <c r="D82">
        <v>2022</v>
      </c>
    </row>
    <row r="83" spans="1:4" x14ac:dyDescent="0.25">
      <c r="A83" t="s">
        <v>91</v>
      </c>
      <c r="B83">
        <v>-0.69079999999999997</v>
      </c>
      <c r="C83" t="s">
        <v>9</v>
      </c>
      <c r="D83">
        <v>2022</v>
      </c>
    </row>
    <row r="84" spans="1:4" x14ac:dyDescent="0.25">
      <c r="A84" t="s">
        <v>92</v>
      </c>
      <c r="B84">
        <v>-0.128</v>
      </c>
      <c r="C84" t="s">
        <v>7</v>
      </c>
      <c r="D84">
        <v>2022</v>
      </c>
    </row>
    <row r="85" spans="1:4" x14ac:dyDescent="0.25">
      <c r="A85" t="s">
        <v>93</v>
      </c>
      <c r="B85">
        <v>0.62490000000000001</v>
      </c>
      <c r="C85" t="s">
        <v>27</v>
      </c>
      <c r="D85">
        <v>2022</v>
      </c>
    </row>
    <row r="86" spans="1:4" x14ac:dyDescent="0.25">
      <c r="A86" t="s">
        <v>94</v>
      </c>
      <c r="B86">
        <v>0.38179999999999997</v>
      </c>
      <c r="C86" t="s">
        <v>18</v>
      </c>
      <c r="D86">
        <v>2022</v>
      </c>
    </row>
    <row r="87" spans="1:4" x14ac:dyDescent="0.25">
      <c r="A87" t="s">
        <v>95</v>
      </c>
      <c r="B87">
        <v>0.62490000000000001</v>
      </c>
      <c r="C87" t="s">
        <v>27</v>
      </c>
      <c r="D87">
        <v>2022</v>
      </c>
    </row>
    <row r="88" spans="1:4" x14ac:dyDescent="0.25">
      <c r="A88" t="s">
        <v>96</v>
      </c>
      <c r="B88">
        <v>0.61240000000000006</v>
      </c>
      <c r="C88" t="s">
        <v>27</v>
      </c>
      <c r="D88">
        <v>2022</v>
      </c>
    </row>
    <row r="89" spans="1:4" x14ac:dyDescent="0.25">
      <c r="A89" t="s">
        <v>97</v>
      </c>
      <c r="B89">
        <v>0.96230000000000004</v>
      </c>
      <c r="C89" t="s">
        <v>67</v>
      </c>
      <c r="D89">
        <v>2022</v>
      </c>
    </row>
    <row r="90" spans="1:4" x14ac:dyDescent="0.25">
      <c r="A90" t="s">
        <v>98</v>
      </c>
      <c r="B90">
        <v>-0.29599999999999999</v>
      </c>
      <c r="C90" t="s">
        <v>7</v>
      </c>
      <c r="D90">
        <v>2022</v>
      </c>
    </row>
    <row r="91" spans="1:4" x14ac:dyDescent="0.25">
      <c r="A91" t="s">
        <v>31</v>
      </c>
      <c r="B91">
        <v>0</v>
      </c>
      <c r="C91" t="s">
        <v>5</v>
      </c>
      <c r="D91">
        <v>2022</v>
      </c>
    </row>
    <row r="92" spans="1:4" x14ac:dyDescent="0.25">
      <c r="A92" t="s">
        <v>99</v>
      </c>
      <c r="B92">
        <v>0.2732</v>
      </c>
      <c r="C92" t="s">
        <v>11</v>
      </c>
      <c r="D92">
        <v>2022</v>
      </c>
    </row>
    <row r="93" spans="1:4" x14ac:dyDescent="0.25">
      <c r="A93" t="s">
        <v>100</v>
      </c>
      <c r="B93">
        <v>7.7200000000000005E-2</v>
      </c>
      <c r="C93" t="s">
        <v>5</v>
      </c>
      <c r="D93">
        <v>2022</v>
      </c>
    </row>
    <row r="94" spans="1:4" x14ac:dyDescent="0.25">
      <c r="A94" t="s">
        <v>101</v>
      </c>
      <c r="B94">
        <v>0.5423</v>
      </c>
      <c r="C94" t="s">
        <v>27</v>
      </c>
      <c r="D94">
        <v>2022</v>
      </c>
    </row>
    <row r="95" spans="1:4" x14ac:dyDescent="0.25">
      <c r="A95" t="s">
        <v>102</v>
      </c>
      <c r="B95">
        <v>7.7200000000000005E-2</v>
      </c>
      <c r="C95" t="s">
        <v>5</v>
      </c>
      <c r="D95">
        <v>2022</v>
      </c>
    </row>
    <row r="96" spans="1:4" x14ac:dyDescent="0.25">
      <c r="A96" t="s">
        <v>103</v>
      </c>
      <c r="B96">
        <v>0.38179999999999997</v>
      </c>
      <c r="C96" t="s">
        <v>18</v>
      </c>
      <c r="D96">
        <v>2022</v>
      </c>
    </row>
    <row r="97" spans="1:4" x14ac:dyDescent="0.25">
      <c r="A97" t="s">
        <v>104</v>
      </c>
      <c r="B97">
        <v>-0.5423</v>
      </c>
      <c r="C97" t="s">
        <v>9</v>
      </c>
      <c r="D97">
        <v>2022</v>
      </c>
    </row>
    <row r="98" spans="1:4" x14ac:dyDescent="0.25">
      <c r="A98" t="s">
        <v>105</v>
      </c>
      <c r="B98">
        <v>0.44040000000000001</v>
      </c>
      <c r="C98" t="s">
        <v>18</v>
      </c>
      <c r="D98">
        <v>2022</v>
      </c>
    </row>
    <row r="99" spans="1:4" x14ac:dyDescent="0.25">
      <c r="A99" t="s">
        <v>106</v>
      </c>
      <c r="B99">
        <v>0.77829999999999999</v>
      </c>
      <c r="C99" t="s">
        <v>23</v>
      </c>
      <c r="D99">
        <v>2022</v>
      </c>
    </row>
    <row r="100" spans="1:4" x14ac:dyDescent="0.25">
      <c r="A100" t="s">
        <v>107</v>
      </c>
      <c r="B100">
        <v>0.71840000000000004</v>
      </c>
      <c r="C100" t="s">
        <v>23</v>
      </c>
      <c r="D100">
        <v>2022</v>
      </c>
    </row>
    <row r="101" spans="1:4" x14ac:dyDescent="0.25">
      <c r="A101" t="s">
        <v>83</v>
      </c>
      <c r="B101">
        <v>0.81259999999999999</v>
      </c>
      <c r="C101" t="s">
        <v>23</v>
      </c>
      <c r="D101">
        <v>2022</v>
      </c>
    </row>
    <row r="102" spans="1:4" x14ac:dyDescent="0.25">
      <c r="A102" t="s">
        <v>108</v>
      </c>
      <c r="B102">
        <v>0.1154</v>
      </c>
      <c r="C102" t="s">
        <v>11</v>
      </c>
      <c r="D102">
        <v>2022</v>
      </c>
    </row>
    <row r="103" spans="1:4" x14ac:dyDescent="0.25">
      <c r="A103" t="s">
        <v>109</v>
      </c>
      <c r="B103">
        <v>-0.74299999999999999</v>
      </c>
      <c r="C103" t="s">
        <v>21</v>
      </c>
      <c r="D103">
        <v>2022</v>
      </c>
    </row>
    <row r="104" spans="1:4" x14ac:dyDescent="0.25">
      <c r="A104" t="s">
        <v>85</v>
      </c>
      <c r="B104">
        <v>0.83160000000000001</v>
      </c>
      <c r="C104" t="s">
        <v>23</v>
      </c>
      <c r="D104">
        <v>2022</v>
      </c>
    </row>
    <row r="105" spans="1:4" x14ac:dyDescent="0.25">
      <c r="A105" t="s">
        <v>110</v>
      </c>
      <c r="B105">
        <v>0</v>
      </c>
      <c r="C105" t="s">
        <v>5</v>
      </c>
      <c r="D105">
        <v>2023</v>
      </c>
    </row>
    <row r="106" spans="1:4" x14ac:dyDescent="0.25">
      <c r="A106" t="s">
        <v>111</v>
      </c>
      <c r="B106">
        <v>0</v>
      </c>
      <c r="C106" t="s">
        <v>5</v>
      </c>
      <c r="D106">
        <v>2023</v>
      </c>
    </row>
    <row r="107" spans="1:4" x14ac:dyDescent="0.25">
      <c r="A107" t="s">
        <v>112</v>
      </c>
      <c r="B107">
        <v>-0.57189999999999996</v>
      </c>
      <c r="C107" t="s">
        <v>9</v>
      </c>
      <c r="D107">
        <v>2023</v>
      </c>
    </row>
    <row r="108" spans="1:4" x14ac:dyDescent="0.25">
      <c r="A108" t="s">
        <v>113</v>
      </c>
      <c r="B108">
        <v>0.44040000000000001</v>
      </c>
      <c r="C108" t="s">
        <v>18</v>
      </c>
      <c r="D108">
        <v>2023</v>
      </c>
    </row>
    <row r="109" spans="1:4" x14ac:dyDescent="0.25">
      <c r="A109" t="s">
        <v>12</v>
      </c>
      <c r="B109">
        <v>0</v>
      </c>
      <c r="C109" t="s">
        <v>5</v>
      </c>
      <c r="D109">
        <v>2023</v>
      </c>
    </row>
    <row r="110" spans="1:4" x14ac:dyDescent="0.25">
      <c r="A110" t="s">
        <v>114</v>
      </c>
      <c r="B110">
        <v>-0.34</v>
      </c>
      <c r="C110" t="s">
        <v>15</v>
      </c>
      <c r="D110">
        <v>2023</v>
      </c>
    </row>
    <row r="111" spans="1:4" x14ac:dyDescent="0.25">
      <c r="A111" t="s">
        <v>115</v>
      </c>
      <c r="B111">
        <v>-0.69079999999999997</v>
      </c>
      <c r="C111" t="s">
        <v>9</v>
      </c>
      <c r="D111">
        <v>2023</v>
      </c>
    </row>
    <row r="112" spans="1:4" x14ac:dyDescent="0.25">
      <c r="A112" t="s">
        <v>116</v>
      </c>
      <c r="B112">
        <v>-0.128</v>
      </c>
      <c r="C112" t="s">
        <v>7</v>
      </c>
      <c r="D112">
        <v>2023</v>
      </c>
    </row>
    <row r="113" spans="1:4" x14ac:dyDescent="0.25">
      <c r="A113" t="s">
        <v>93</v>
      </c>
      <c r="B113">
        <v>0.62490000000000001</v>
      </c>
      <c r="C113" t="s">
        <v>27</v>
      </c>
      <c r="D113">
        <v>2023</v>
      </c>
    </row>
    <row r="114" spans="1:4" x14ac:dyDescent="0.25">
      <c r="A114" t="s">
        <v>117</v>
      </c>
      <c r="B114">
        <v>0.38179999999999997</v>
      </c>
      <c r="C114" t="s">
        <v>18</v>
      </c>
      <c r="D114">
        <v>2023</v>
      </c>
    </row>
    <row r="115" spans="1:4" x14ac:dyDescent="0.25">
      <c r="A115" t="s">
        <v>118</v>
      </c>
      <c r="B115">
        <v>0.62490000000000001</v>
      </c>
      <c r="C115" t="s">
        <v>27</v>
      </c>
      <c r="D115">
        <v>2023</v>
      </c>
    </row>
    <row r="116" spans="1:4" x14ac:dyDescent="0.25">
      <c r="A116" t="s">
        <v>119</v>
      </c>
      <c r="B116">
        <v>0.69079999999999997</v>
      </c>
      <c r="C116" t="s">
        <v>27</v>
      </c>
      <c r="D116">
        <v>2023</v>
      </c>
    </row>
    <row r="117" spans="1:4" x14ac:dyDescent="0.25">
      <c r="A117" t="s">
        <v>120</v>
      </c>
      <c r="B117">
        <v>0.96230000000000004</v>
      </c>
      <c r="C117" t="s">
        <v>67</v>
      </c>
      <c r="D117">
        <v>2023</v>
      </c>
    </row>
    <row r="118" spans="1:4" x14ac:dyDescent="0.25">
      <c r="A118" t="s">
        <v>98</v>
      </c>
      <c r="B118">
        <v>-0.29599999999999999</v>
      </c>
      <c r="C118" t="s">
        <v>7</v>
      </c>
      <c r="D118">
        <v>2023</v>
      </c>
    </row>
    <row r="119" spans="1:4" x14ac:dyDescent="0.25">
      <c r="A119" t="s">
        <v>31</v>
      </c>
      <c r="B119">
        <v>0</v>
      </c>
      <c r="C119" t="s">
        <v>5</v>
      </c>
      <c r="D119">
        <v>2023</v>
      </c>
    </row>
    <row r="120" spans="1:4" x14ac:dyDescent="0.25">
      <c r="A120" t="s">
        <v>99</v>
      </c>
      <c r="B120">
        <v>0.2732</v>
      </c>
      <c r="C120" t="s">
        <v>11</v>
      </c>
      <c r="D120">
        <v>2023</v>
      </c>
    </row>
    <row r="121" spans="1:4" x14ac:dyDescent="0.25">
      <c r="A121" t="s">
        <v>100</v>
      </c>
      <c r="B121">
        <v>7.7200000000000005E-2</v>
      </c>
      <c r="C121" t="s">
        <v>5</v>
      </c>
      <c r="D121">
        <v>2023</v>
      </c>
    </row>
    <row r="122" spans="1:4" x14ac:dyDescent="0.25">
      <c r="A122" t="s">
        <v>101</v>
      </c>
      <c r="B122">
        <v>0.5423</v>
      </c>
      <c r="C122" t="s">
        <v>27</v>
      </c>
      <c r="D122">
        <v>2023</v>
      </c>
    </row>
    <row r="123" spans="1:4" x14ac:dyDescent="0.25">
      <c r="A123" t="s">
        <v>121</v>
      </c>
      <c r="B123">
        <v>7.7200000000000005E-2</v>
      </c>
      <c r="C123" t="s">
        <v>5</v>
      </c>
      <c r="D123">
        <v>2023</v>
      </c>
    </row>
    <row r="124" spans="1:4" x14ac:dyDescent="0.25">
      <c r="A124" t="s">
        <v>122</v>
      </c>
      <c r="B124">
        <v>0.128</v>
      </c>
      <c r="C124" t="s">
        <v>11</v>
      </c>
      <c r="D124">
        <v>2023</v>
      </c>
    </row>
    <row r="125" spans="1:4" x14ac:dyDescent="0.25">
      <c r="A125" t="s">
        <v>123</v>
      </c>
      <c r="B125">
        <v>-0.5423</v>
      </c>
      <c r="C125" t="s">
        <v>9</v>
      </c>
      <c r="D125">
        <v>2023</v>
      </c>
    </row>
    <row r="126" spans="1:4" x14ac:dyDescent="0.25">
      <c r="A126" t="s">
        <v>105</v>
      </c>
      <c r="B126">
        <v>0.44040000000000001</v>
      </c>
      <c r="C126" t="s">
        <v>18</v>
      </c>
      <c r="D126">
        <v>2023</v>
      </c>
    </row>
    <row r="127" spans="1:4" x14ac:dyDescent="0.25">
      <c r="A127" t="s">
        <v>124</v>
      </c>
      <c r="B127">
        <v>0.77829999999999999</v>
      </c>
      <c r="C127" t="s">
        <v>23</v>
      </c>
      <c r="D127">
        <v>2023</v>
      </c>
    </row>
    <row r="128" spans="1:4" x14ac:dyDescent="0.25">
      <c r="A128" t="s">
        <v>125</v>
      </c>
      <c r="B128">
        <v>0.71840000000000004</v>
      </c>
      <c r="C128" t="s">
        <v>23</v>
      </c>
      <c r="D128">
        <v>2023</v>
      </c>
    </row>
    <row r="129" spans="1:4" x14ac:dyDescent="0.25">
      <c r="A129" t="s">
        <v>83</v>
      </c>
      <c r="B129">
        <v>0.81259999999999999</v>
      </c>
      <c r="C129" t="s">
        <v>23</v>
      </c>
      <c r="D129">
        <v>2023</v>
      </c>
    </row>
    <row r="130" spans="1:4" x14ac:dyDescent="0.25">
      <c r="A130" t="s">
        <v>126</v>
      </c>
      <c r="B130">
        <v>0.1154</v>
      </c>
      <c r="C130" t="s">
        <v>11</v>
      </c>
      <c r="D130">
        <v>2023</v>
      </c>
    </row>
    <row r="131" spans="1:4" x14ac:dyDescent="0.25">
      <c r="A131" t="s">
        <v>109</v>
      </c>
      <c r="B131">
        <v>-0.74299999999999999</v>
      </c>
      <c r="C131" t="s">
        <v>21</v>
      </c>
      <c r="D131">
        <v>2023</v>
      </c>
    </row>
    <row r="132" spans="1:4" x14ac:dyDescent="0.25">
      <c r="A132" t="s">
        <v>85</v>
      </c>
      <c r="B132">
        <v>0.83160000000000001</v>
      </c>
      <c r="C132" t="s">
        <v>23</v>
      </c>
      <c r="D132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3DA2-1110-447F-9971-E64316AE6A36}">
  <sheetPr filterMode="1"/>
  <dimension ref="A1:I132"/>
  <sheetViews>
    <sheetView workbookViewId="0">
      <selection activeCell="I17" sqref="I17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t="s">
        <v>4</v>
      </c>
      <c r="B2">
        <v>0</v>
      </c>
      <c r="C2" t="s">
        <v>5</v>
      </c>
      <c r="D2">
        <v>2020</v>
      </c>
    </row>
    <row r="3" spans="1:9" x14ac:dyDescent="0.25">
      <c r="A3" t="s">
        <v>6</v>
      </c>
      <c r="B3">
        <v>-0.29599999999999999</v>
      </c>
      <c r="C3" t="s">
        <v>7</v>
      </c>
      <c r="D3">
        <v>2020</v>
      </c>
      <c r="G3" s="5" t="s">
        <v>128</v>
      </c>
      <c r="H3" s="6"/>
    </row>
    <row r="4" spans="1:9" x14ac:dyDescent="0.25">
      <c r="A4" t="s">
        <v>8</v>
      </c>
      <c r="B4">
        <v>-0.68079999999999996</v>
      </c>
      <c r="C4" t="s">
        <v>9</v>
      </c>
      <c r="D4">
        <v>2020</v>
      </c>
      <c r="G4" s="2" t="s">
        <v>127</v>
      </c>
      <c r="H4" s="3">
        <f>COUNTIF($C$2:$C$37,G4)</f>
        <v>0</v>
      </c>
    </row>
    <row r="5" spans="1:9" x14ac:dyDescent="0.25">
      <c r="A5" t="s">
        <v>10</v>
      </c>
      <c r="B5">
        <v>0.2263</v>
      </c>
      <c r="C5" t="s">
        <v>11</v>
      </c>
      <c r="D5">
        <v>2020</v>
      </c>
      <c r="G5" s="2" t="s">
        <v>21</v>
      </c>
      <c r="H5" s="3">
        <f t="shared" ref="H5:H14" si="0">COUNTIF($C$2:$C$37,G5)</f>
        <v>2</v>
      </c>
    </row>
    <row r="6" spans="1:9" x14ac:dyDescent="0.25">
      <c r="A6" t="s">
        <v>12</v>
      </c>
      <c r="B6">
        <v>0</v>
      </c>
      <c r="C6" t="s">
        <v>5</v>
      </c>
      <c r="D6">
        <v>2020</v>
      </c>
      <c r="G6" s="2" t="s">
        <v>9</v>
      </c>
      <c r="H6" s="3">
        <f t="shared" si="0"/>
        <v>5</v>
      </c>
    </row>
    <row r="7" spans="1:9" x14ac:dyDescent="0.25">
      <c r="A7" t="s">
        <v>13</v>
      </c>
      <c r="B7">
        <v>-0.59940000000000004</v>
      </c>
      <c r="C7" t="s">
        <v>9</v>
      </c>
      <c r="D7">
        <v>2020</v>
      </c>
      <c r="G7" s="2" t="s">
        <v>15</v>
      </c>
      <c r="H7" s="3">
        <f t="shared" si="0"/>
        <v>2</v>
      </c>
    </row>
    <row r="8" spans="1:9" x14ac:dyDescent="0.25">
      <c r="A8" t="s">
        <v>14</v>
      </c>
      <c r="B8">
        <v>-0.38179999999999997</v>
      </c>
      <c r="C8" t="s">
        <v>15</v>
      </c>
      <c r="D8">
        <v>2020</v>
      </c>
      <c r="G8" s="2" t="s">
        <v>7</v>
      </c>
      <c r="H8" s="3">
        <f t="shared" si="0"/>
        <v>1</v>
      </c>
    </row>
    <row r="9" spans="1:9" x14ac:dyDescent="0.25">
      <c r="A9" t="s">
        <v>16</v>
      </c>
      <c r="B9">
        <v>0</v>
      </c>
      <c r="C9" t="s">
        <v>5</v>
      </c>
      <c r="D9">
        <v>2020</v>
      </c>
      <c r="G9" s="2" t="s">
        <v>5</v>
      </c>
      <c r="H9" s="3">
        <f>COUNTIF($C$2:$C$37,G9)</f>
        <v>8</v>
      </c>
      <c r="I9">
        <f>(H8+H10)/2</f>
        <v>1</v>
      </c>
    </row>
    <row r="10" spans="1:9" x14ac:dyDescent="0.25">
      <c r="A10" t="s">
        <v>17</v>
      </c>
      <c r="B10">
        <v>0.44040000000000001</v>
      </c>
      <c r="C10" t="s">
        <v>18</v>
      </c>
      <c r="D10">
        <v>2020</v>
      </c>
      <c r="G10" s="2" t="s">
        <v>11</v>
      </c>
      <c r="H10" s="3">
        <f t="shared" si="0"/>
        <v>1</v>
      </c>
    </row>
    <row r="11" spans="1:9" x14ac:dyDescent="0.25">
      <c r="A11" t="s">
        <v>19</v>
      </c>
      <c r="B11">
        <v>-0.52669999999999995</v>
      </c>
      <c r="C11" t="s">
        <v>9</v>
      </c>
      <c r="D11">
        <v>2020</v>
      </c>
      <c r="G11" s="2" t="s">
        <v>18</v>
      </c>
      <c r="H11" s="3">
        <f t="shared" si="0"/>
        <v>5</v>
      </c>
    </row>
    <row r="12" spans="1:9" x14ac:dyDescent="0.25">
      <c r="A12" t="s">
        <v>20</v>
      </c>
      <c r="B12">
        <v>-0.70960000000000001</v>
      </c>
      <c r="C12" t="s">
        <v>21</v>
      </c>
      <c r="D12">
        <v>2020</v>
      </c>
      <c r="G12" s="2" t="s">
        <v>27</v>
      </c>
      <c r="H12" s="3">
        <f t="shared" si="0"/>
        <v>6</v>
      </c>
    </row>
    <row r="13" spans="1:9" x14ac:dyDescent="0.25">
      <c r="A13" t="s">
        <v>22</v>
      </c>
      <c r="B13">
        <v>0.83599999999999997</v>
      </c>
      <c r="C13" t="s">
        <v>23</v>
      </c>
      <c r="D13">
        <v>2020</v>
      </c>
      <c r="G13" s="2" t="s">
        <v>23</v>
      </c>
      <c r="H13" s="3">
        <f t="shared" si="0"/>
        <v>6</v>
      </c>
    </row>
    <row r="14" spans="1:9" x14ac:dyDescent="0.25">
      <c r="A14" t="s">
        <v>24</v>
      </c>
      <c r="B14">
        <v>-0.55200000000000005</v>
      </c>
      <c r="C14" t="s">
        <v>9</v>
      </c>
      <c r="D14">
        <v>2020</v>
      </c>
      <c r="G14" s="2" t="s">
        <v>67</v>
      </c>
      <c r="H14" s="3">
        <f t="shared" si="0"/>
        <v>0</v>
      </c>
    </row>
    <row r="15" spans="1:9" x14ac:dyDescent="0.25">
      <c r="A15" t="s">
        <v>25</v>
      </c>
      <c r="B15">
        <v>-0.42149999999999999</v>
      </c>
      <c r="C15" t="s">
        <v>15</v>
      </c>
      <c r="D15">
        <v>2020</v>
      </c>
    </row>
    <row r="16" spans="1:9" x14ac:dyDescent="0.25">
      <c r="A16" t="s">
        <v>26</v>
      </c>
      <c r="B16">
        <v>0.64859999999999995</v>
      </c>
      <c r="C16" t="s">
        <v>27</v>
      </c>
      <c r="D16">
        <v>2020</v>
      </c>
    </row>
    <row r="17" spans="1:4" x14ac:dyDescent="0.25">
      <c r="A17" t="s">
        <v>28</v>
      </c>
      <c r="B17">
        <v>0.84809999999999997</v>
      </c>
      <c r="C17" t="s">
        <v>23</v>
      </c>
      <c r="D17">
        <v>2020</v>
      </c>
    </row>
    <row r="18" spans="1:4" x14ac:dyDescent="0.25">
      <c r="A18" t="s">
        <v>29</v>
      </c>
      <c r="B18">
        <v>0.38179999999999997</v>
      </c>
      <c r="C18" t="s">
        <v>18</v>
      </c>
      <c r="D18">
        <v>2020</v>
      </c>
    </row>
    <row r="19" spans="1:4" x14ac:dyDescent="0.25">
      <c r="A19" t="s">
        <v>30</v>
      </c>
      <c r="B19">
        <v>0.62490000000000001</v>
      </c>
      <c r="C19" t="s">
        <v>27</v>
      </c>
      <c r="D19">
        <v>2020</v>
      </c>
    </row>
    <row r="20" spans="1:4" x14ac:dyDescent="0.25">
      <c r="A20" t="s">
        <v>31</v>
      </c>
      <c r="B20">
        <v>0</v>
      </c>
      <c r="C20" t="s">
        <v>5</v>
      </c>
      <c r="D20">
        <v>2020</v>
      </c>
    </row>
    <row r="21" spans="1:4" x14ac:dyDescent="0.25">
      <c r="A21" t="s">
        <v>32</v>
      </c>
      <c r="B21">
        <v>-0.75060000000000004</v>
      </c>
      <c r="C21" t="s">
        <v>21</v>
      </c>
      <c r="D21">
        <v>2020</v>
      </c>
    </row>
    <row r="22" spans="1:4" x14ac:dyDescent="0.25">
      <c r="A22" t="s">
        <v>33</v>
      </c>
      <c r="B22">
        <v>-0.51060000000000005</v>
      </c>
      <c r="C22" t="s">
        <v>9</v>
      </c>
      <c r="D22">
        <v>2020</v>
      </c>
    </row>
    <row r="23" spans="1:4" x14ac:dyDescent="0.25">
      <c r="A23" t="s">
        <v>34</v>
      </c>
      <c r="B23">
        <v>0.49390000000000001</v>
      </c>
      <c r="C23" t="s">
        <v>18</v>
      </c>
      <c r="D23">
        <v>2020</v>
      </c>
    </row>
    <row r="24" spans="1:4" x14ac:dyDescent="0.25">
      <c r="A24" t="s">
        <v>35</v>
      </c>
      <c r="B24">
        <v>0</v>
      </c>
      <c r="C24" t="s">
        <v>5</v>
      </c>
      <c r="D24">
        <v>2020</v>
      </c>
    </row>
    <row r="25" spans="1:4" x14ac:dyDescent="0.25">
      <c r="A25" t="s">
        <v>36</v>
      </c>
      <c r="B25">
        <v>0.7359</v>
      </c>
      <c r="C25" t="s">
        <v>23</v>
      </c>
      <c r="D25">
        <v>2020</v>
      </c>
    </row>
    <row r="26" spans="1:4" x14ac:dyDescent="0.25">
      <c r="A26" t="s">
        <v>37</v>
      </c>
      <c r="B26">
        <v>0.85550000000000004</v>
      </c>
      <c r="C26" t="s">
        <v>23</v>
      </c>
      <c r="D26">
        <v>2020</v>
      </c>
    </row>
    <row r="27" spans="1:4" x14ac:dyDescent="0.25">
      <c r="A27" t="s">
        <v>38</v>
      </c>
      <c r="B27">
        <v>0.58589999999999998</v>
      </c>
      <c r="C27" t="s">
        <v>27</v>
      </c>
      <c r="D27">
        <v>2020</v>
      </c>
    </row>
    <row r="28" spans="1:4" x14ac:dyDescent="0.25">
      <c r="A28" t="s">
        <v>39</v>
      </c>
      <c r="B28">
        <v>0.42149999999999999</v>
      </c>
      <c r="C28" t="s">
        <v>18</v>
      </c>
      <c r="D28">
        <v>2020</v>
      </c>
    </row>
    <row r="29" spans="1:4" x14ac:dyDescent="0.25">
      <c r="A29" t="s">
        <v>40</v>
      </c>
      <c r="B29">
        <v>0.86250000000000004</v>
      </c>
      <c r="C29" t="s">
        <v>23</v>
      </c>
      <c r="D29">
        <v>2020</v>
      </c>
    </row>
    <row r="30" spans="1:4" x14ac:dyDescent="0.25">
      <c r="A30" t="s">
        <v>41</v>
      </c>
      <c r="B30">
        <v>0</v>
      </c>
      <c r="C30" t="s">
        <v>5</v>
      </c>
      <c r="D30">
        <v>2020</v>
      </c>
    </row>
    <row r="31" spans="1:4" x14ac:dyDescent="0.25">
      <c r="A31" t="s">
        <v>42</v>
      </c>
      <c r="B31">
        <v>2.58E-2</v>
      </c>
      <c r="C31" t="s">
        <v>5</v>
      </c>
      <c r="D31">
        <v>2020</v>
      </c>
    </row>
    <row r="32" spans="1:4" x14ac:dyDescent="0.25">
      <c r="A32" t="s">
        <v>43</v>
      </c>
      <c r="B32">
        <v>0.59940000000000004</v>
      </c>
      <c r="C32" t="s">
        <v>27</v>
      </c>
      <c r="D32">
        <v>2020</v>
      </c>
    </row>
    <row r="33" spans="1:8" x14ac:dyDescent="0.25">
      <c r="A33" t="s">
        <v>44</v>
      </c>
      <c r="B33">
        <v>0.83160000000000001</v>
      </c>
      <c r="C33" t="s">
        <v>23</v>
      </c>
      <c r="D33">
        <v>2020</v>
      </c>
    </row>
    <row r="34" spans="1:8" x14ac:dyDescent="0.25">
      <c r="A34" t="s">
        <v>45</v>
      </c>
      <c r="B34">
        <v>0</v>
      </c>
      <c r="C34" t="s">
        <v>5</v>
      </c>
      <c r="D34">
        <v>2020</v>
      </c>
    </row>
    <row r="35" spans="1:8" x14ac:dyDescent="0.25">
      <c r="A35" t="s">
        <v>46</v>
      </c>
      <c r="B35">
        <v>0.65969999999999995</v>
      </c>
      <c r="C35" t="s">
        <v>27</v>
      </c>
      <c r="D35">
        <v>2020</v>
      </c>
    </row>
    <row r="36" spans="1:8" x14ac:dyDescent="0.25">
      <c r="A36" t="s">
        <v>47</v>
      </c>
      <c r="B36">
        <v>0.62490000000000001</v>
      </c>
      <c r="C36" t="s">
        <v>27</v>
      </c>
      <c r="D36">
        <v>2020</v>
      </c>
    </row>
    <row r="37" spans="1:8" x14ac:dyDescent="0.25">
      <c r="A37" t="s">
        <v>48</v>
      </c>
      <c r="B37">
        <v>0.38179999999999997</v>
      </c>
      <c r="C37" t="s">
        <v>18</v>
      </c>
      <c r="D37">
        <v>2020</v>
      </c>
    </row>
    <row r="38" spans="1:8" hidden="1" x14ac:dyDescent="0.25">
      <c r="A38" t="s">
        <v>49</v>
      </c>
      <c r="B38">
        <v>0</v>
      </c>
      <c r="C38" t="s">
        <v>5</v>
      </c>
      <c r="D38">
        <v>2021</v>
      </c>
    </row>
    <row r="39" spans="1:8" hidden="1" x14ac:dyDescent="0.25">
      <c r="A39" t="s">
        <v>50</v>
      </c>
      <c r="B39">
        <v>0</v>
      </c>
      <c r="C39" t="s">
        <v>5</v>
      </c>
      <c r="D39">
        <v>2021</v>
      </c>
      <c r="G39" s="5" t="s">
        <v>129</v>
      </c>
      <c r="H39" s="6"/>
    </row>
    <row r="40" spans="1:8" hidden="1" x14ac:dyDescent="0.25">
      <c r="A40" t="s">
        <v>51</v>
      </c>
      <c r="B40">
        <v>0.31819999999999998</v>
      </c>
      <c r="C40" t="s">
        <v>18</v>
      </c>
      <c r="D40">
        <v>2021</v>
      </c>
      <c r="G40" s="2" t="s">
        <v>127</v>
      </c>
      <c r="H40" s="3">
        <f>COUNTIF($C$38:$C$76,G40)</f>
        <v>0</v>
      </c>
    </row>
    <row r="41" spans="1:8" hidden="1" x14ac:dyDescent="0.25">
      <c r="A41" t="s">
        <v>52</v>
      </c>
      <c r="B41">
        <v>0.2263</v>
      </c>
      <c r="C41" t="s">
        <v>11</v>
      </c>
      <c r="D41">
        <v>2021</v>
      </c>
      <c r="G41" s="2" t="s">
        <v>21</v>
      </c>
      <c r="H41" s="3">
        <f>COUNTIF($C$38:$C$76,G41)</f>
        <v>1</v>
      </c>
    </row>
    <row r="42" spans="1:8" hidden="1" x14ac:dyDescent="0.25">
      <c r="A42" t="s">
        <v>12</v>
      </c>
      <c r="B42">
        <v>0</v>
      </c>
      <c r="C42" t="s">
        <v>5</v>
      </c>
      <c r="D42">
        <v>2021</v>
      </c>
      <c r="G42" s="2" t="s">
        <v>9</v>
      </c>
      <c r="H42" s="3">
        <f t="shared" ref="H42:H50" si="1">COUNTIF($C$38:$C$76,G42)</f>
        <v>1</v>
      </c>
    </row>
    <row r="43" spans="1:8" hidden="1" x14ac:dyDescent="0.25">
      <c r="A43" t="s">
        <v>53</v>
      </c>
      <c r="B43">
        <v>0</v>
      </c>
      <c r="C43" t="s">
        <v>5</v>
      </c>
      <c r="D43">
        <v>2021</v>
      </c>
      <c r="G43" s="2" t="s">
        <v>15</v>
      </c>
      <c r="H43" s="3">
        <f t="shared" si="1"/>
        <v>1</v>
      </c>
    </row>
    <row r="44" spans="1:8" hidden="1" x14ac:dyDescent="0.25">
      <c r="A44" t="s">
        <v>54</v>
      </c>
      <c r="B44">
        <v>-0.80200000000000005</v>
      </c>
      <c r="C44" t="s">
        <v>21</v>
      </c>
      <c r="D44">
        <v>2021</v>
      </c>
      <c r="G44" s="2" t="s">
        <v>7</v>
      </c>
      <c r="H44" s="3">
        <f t="shared" si="1"/>
        <v>1</v>
      </c>
    </row>
    <row r="45" spans="1:8" hidden="1" x14ac:dyDescent="0.25">
      <c r="A45" t="s">
        <v>55</v>
      </c>
      <c r="B45">
        <v>2.58E-2</v>
      </c>
      <c r="C45" t="s">
        <v>5</v>
      </c>
      <c r="D45">
        <v>2021</v>
      </c>
      <c r="G45" s="2" t="s">
        <v>5</v>
      </c>
      <c r="H45" s="3">
        <f t="shared" si="1"/>
        <v>13</v>
      </c>
    </row>
    <row r="46" spans="1:8" hidden="1" x14ac:dyDescent="0.25">
      <c r="A46" t="s">
        <v>56</v>
      </c>
      <c r="B46">
        <v>0</v>
      </c>
      <c r="C46" t="s">
        <v>5</v>
      </c>
      <c r="D46">
        <v>2021</v>
      </c>
      <c r="G46" s="2" t="s">
        <v>11</v>
      </c>
      <c r="H46" s="3">
        <f t="shared" si="1"/>
        <v>5</v>
      </c>
    </row>
    <row r="47" spans="1:8" hidden="1" x14ac:dyDescent="0.25">
      <c r="A47" t="s">
        <v>57</v>
      </c>
      <c r="B47">
        <v>0.5423</v>
      </c>
      <c r="C47" t="s">
        <v>27</v>
      </c>
      <c r="D47">
        <v>2021</v>
      </c>
      <c r="G47" s="2" t="s">
        <v>18</v>
      </c>
      <c r="H47" s="3">
        <f t="shared" si="1"/>
        <v>7</v>
      </c>
    </row>
    <row r="48" spans="1:8" hidden="1" x14ac:dyDescent="0.25">
      <c r="A48" t="s">
        <v>58</v>
      </c>
      <c r="B48">
        <v>7.7200000000000005E-2</v>
      </c>
      <c r="C48" t="s">
        <v>5</v>
      </c>
      <c r="D48">
        <v>2021</v>
      </c>
      <c r="G48" s="2" t="s">
        <v>27</v>
      </c>
      <c r="H48" s="3">
        <f t="shared" si="1"/>
        <v>6</v>
      </c>
    </row>
    <row r="49" spans="1:8" hidden="1" x14ac:dyDescent="0.25">
      <c r="A49" t="s">
        <v>59</v>
      </c>
      <c r="B49">
        <v>-0.128</v>
      </c>
      <c r="C49" t="s">
        <v>7</v>
      </c>
      <c r="D49">
        <v>2021</v>
      </c>
      <c r="G49" s="2" t="s">
        <v>23</v>
      </c>
      <c r="H49" s="3">
        <f t="shared" si="1"/>
        <v>3</v>
      </c>
    </row>
    <row r="50" spans="1:8" hidden="1" x14ac:dyDescent="0.25">
      <c r="A50" t="s">
        <v>60</v>
      </c>
      <c r="B50">
        <v>0.38179999999999997</v>
      </c>
      <c r="C50" t="s">
        <v>18</v>
      </c>
      <c r="D50">
        <v>2021</v>
      </c>
      <c r="G50" s="2" t="s">
        <v>67</v>
      </c>
      <c r="H50" s="3">
        <f t="shared" si="1"/>
        <v>1</v>
      </c>
    </row>
    <row r="51" spans="1:8" hidden="1" x14ac:dyDescent="0.25">
      <c r="A51" t="s">
        <v>61</v>
      </c>
      <c r="B51">
        <v>0.15310000000000001</v>
      </c>
      <c r="C51" t="s">
        <v>11</v>
      </c>
      <c r="D51">
        <v>2021</v>
      </c>
    </row>
    <row r="52" spans="1:8" hidden="1" x14ac:dyDescent="0.25">
      <c r="A52" t="s">
        <v>62</v>
      </c>
      <c r="B52">
        <v>0</v>
      </c>
      <c r="C52" t="s">
        <v>5</v>
      </c>
      <c r="D52">
        <v>2021</v>
      </c>
    </row>
    <row r="53" spans="1:8" hidden="1" x14ac:dyDescent="0.25">
      <c r="A53" t="s">
        <v>63</v>
      </c>
      <c r="B53">
        <v>0.62490000000000001</v>
      </c>
      <c r="C53" t="s">
        <v>27</v>
      </c>
      <c r="D53">
        <v>2021</v>
      </c>
    </row>
    <row r="54" spans="1:8" hidden="1" x14ac:dyDescent="0.25">
      <c r="A54" t="s">
        <v>64</v>
      </c>
      <c r="B54">
        <v>0.61240000000000006</v>
      </c>
      <c r="C54" t="s">
        <v>27</v>
      </c>
      <c r="D54">
        <v>2021</v>
      </c>
    </row>
    <row r="55" spans="1:8" hidden="1" x14ac:dyDescent="0.25">
      <c r="A55" t="s">
        <v>65</v>
      </c>
      <c r="B55">
        <v>0.72689999999999999</v>
      </c>
      <c r="C55" t="s">
        <v>23</v>
      </c>
      <c r="D55">
        <v>2021</v>
      </c>
    </row>
    <row r="56" spans="1:8" hidden="1" x14ac:dyDescent="0.25">
      <c r="A56" t="s">
        <v>66</v>
      </c>
      <c r="B56">
        <v>0.9274</v>
      </c>
      <c r="C56" t="s">
        <v>67</v>
      </c>
      <c r="D56">
        <v>2021</v>
      </c>
    </row>
    <row r="57" spans="1:8" hidden="1" x14ac:dyDescent="0.25">
      <c r="A57" t="s">
        <v>31</v>
      </c>
      <c r="B57">
        <v>0</v>
      </c>
      <c r="C57" t="s">
        <v>5</v>
      </c>
      <c r="D57">
        <v>2021</v>
      </c>
    </row>
    <row r="58" spans="1:8" hidden="1" x14ac:dyDescent="0.25">
      <c r="A58" t="s">
        <v>68</v>
      </c>
      <c r="B58">
        <v>0.2732</v>
      </c>
      <c r="C58" t="s">
        <v>11</v>
      </c>
      <c r="D58">
        <v>2021</v>
      </c>
    </row>
    <row r="59" spans="1:8" hidden="1" x14ac:dyDescent="0.25">
      <c r="A59" t="s">
        <v>69</v>
      </c>
      <c r="B59">
        <v>0.40189999999999998</v>
      </c>
      <c r="C59" t="s">
        <v>18</v>
      </c>
      <c r="D59">
        <v>2021</v>
      </c>
    </row>
    <row r="60" spans="1:8" hidden="1" x14ac:dyDescent="0.25">
      <c r="A60" t="s">
        <v>70</v>
      </c>
      <c r="B60">
        <v>0</v>
      </c>
      <c r="C60" t="s">
        <v>5</v>
      </c>
      <c r="D60">
        <v>2021</v>
      </c>
    </row>
    <row r="61" spans="1:8" hidden="1" x14ac:dyDescent="0.25">
      <c r="A61" t="s">
        <v>71</v>
      </c>
      <c r="B61">
        <v>0.5423</v>
      </c>
      <c r="C61" t="s">
        <v>27</v>
      </c>
      <c r="D61">
        <v>2021</v>
      </c>
    </row>
    <row r="62" spans="1:8" hidden="1" x14ac:dyDescent="0.25">
      <c r="A62" t="s">
        <v>72</v>
      </c>
      <c r="B62">
        <v>0</v>
      </c>
      <c r="C62" t="s">
        <v>5</v>
      </c>
      <c r="D62">
        <v>2021</v>
      </c>
    </row>
    <row r="63" spans="1:8" hidden="1" x14ac:dyDescent="0.25">
      <c r="A63" t="s">
        <v>73</v>
      </c>
      <c r="B63">
        <v>0.15310000000000001</v>
      </c>
      <c r="C63" t="s">
        <v>11</v>
      </c>
      <c r="D63">
        <v>2021</v>
      </c>
    </row>
    <row r="64" spans="1:8" hidden="1" x14ac:dyDescent="0.25">
      <c r="A64" t="s">
        <v>74</v>
      </c>
      <c r="B64">
        <v>0.38179999999999997</v>
      </c>
      <c r="C64" t="s">
        <v>18</v>
      </c>
      <c r="D64">
        <v>2021</v>
      </c>
    </row>
    <row r="65" spans="1:8" hidden="1" x14ac:dyDescent="0.25">
      <c r="A65" t="s">
        <v>75</v>
      </c>
      <c r="B65">
        <v>-0.34</v>
      </c>
      <c r="C65" t="s">
        <v>15</v>
      </c>
      <c r="D65">
        <v>2021</v>
      </c>
    </row>
    <row r="66" spans="1:8" hidden="1" x14ac:dyDescent="0.25">
      <c r="A66" t="s">
        <v>76</v>
      </c>
      <c r="B66">
        <v>-0.5423</v>
      </c>
      <c r="C66" t="s">
        <v>9</v>
      </c>
      <c r="D66">
        <v>2021</v>
      </c>
    </row>
    <row r="67" spans="1:8" hidden="1" x14ac:dyDescent="0.25">
      <c r="A67" t="s">
        <v>77</v>
      </c>
      <c r="B67">
        <v>0</v>
      </c>
      <c r="C67" t="s">
        <v>5</v>
      </c>
      <c r="D67">
        <v>2021</v>
      </c>
    </row>
    <row r="68" spans="1:8" hidden="1" x14ac:dyDescent="0.25">
      <c r="A68" t="s">
        <v>78</v>
      </c>
      <c r="B68">
        <v>0.44040000000000001</v>
      </c>
      <c r="C68" t="s">
        <v>18</v>
      </c>
      <c r="D68">
        <v>2021</v>
      </c>
    </row>
    <row r="69" spans="1:8" hidden="1" x14ac:dyDescent="0.25">
      <c r="A69" t="s">
        <v>41</v>
      </c>
      <c r="B69">
        <v>0</v>
      </c>
      <c r="C69" t="s">
        <v>5</v>
      </c>
      <c r="D69">
        <v>2021</v>
      </c>
    </row>
    <row r="70" spans="1:8" hidden="1" x14ac:dyDescent="0.25">
      <c r="A70" t="s">
        <v>79</v>
      </c>
      <c r="B70">
        <v>0.38179999999999997</v>
      </c>
      <c r="C70" t="s">
        <v>18</v>
      </c>
      <c r="D70">
        <v>2021</v>
      </c>
    </row>
    <row r="71" spans="1:8" hidden="1" x14ac:dyDescent="0.25">
      <c r="A71" t="s">
        <v>80</v>
      </c>
      <c r="B71">
        <v>0.63690000000000002</v>
      </c>
      <c r="C71" t="s">
        <v>27</v>
      </c>
      <c r="D71">
        <v>2021</v>
      </c>
    </row>
    <row r="72" spans="1:8" hidden="1" x14ac:dyDescent="0.25">
      <c r="A72" t="s">
        <v>81</v>
      </c>
      <c r="B72">
        <v>0.2732</v>
      </c>
      <c r="C72" t="s">
        <v>11</v>
      </c>
      <c r="D72">
        <v>2021</v>
      </c>
    </row>
    <row r="73" spans="1:8" hidden="1" x14ac:dyDescent="0.25">
      <c r="A73" t="s">
        <v>82</v>
      </c>
      <c r="B73">
        <v>0.59940000000000004</v>
      </c>
      <c r="C73" t="s">
        <v>27</v>
      </c>
      <c r="D73">
        <v>2021</v>
      </c>
    </row>
    <row r="74" spans="1:8" hidden="1" x14ac:dyDescent="0.25">
      <c r="A74" t="s">
        <v>83</v>
      </c>
      <c r="B74">
        <v>0.81259999999999999</v>
      </c>
      <c r="C74" t="s">
        <v>23</v>
      </c>
      <c r="D74">
        <v>2021</v>
      </c>
    </row>
    <row r="75" spans="1:8" hidden="1" x14ac:dyDescent="0.25">
      <c r="A75" t="s">
        <v>84</v>
      </c>
      <c r="B75">
        <v>0.39190000000000003</v>
      </c>
      <c r="C75" t="s">
        <v>18</v>
      </c>
      <c r="D75">
        <v>2021</v>
      </c>
    </row>
    <row r="76" spans="1:8" hidden="1" x14ac:dyDescent="0.25">
      <c r="A76" t="s">
        <v>85</v>
      </c>
      <c r="B76">
        <v>0.83160000000000001</v>
      </c>
      <c r="C76" t="s">
        <v>23</v>
      </c>
      <c r="D76">
        <v>2021</v>
      </c>
    </row>
    <row r="77" spans="1:8" hidden="1" x14ac:dyDescent="0.25">
      <c r="A77" t="s">
        <v>86</v>
      </c>
      <c r="B77">
        <v>0</v>
      </c>
      <c r="C77" t="s">
        <v>5</v>
      </c>
      <c r="D77">
        <v>2022</v>
      </c>
    </row>
    <row r="78" spans="1:8" hidden="1" x14ac:dyDescent="0.25">
      <c r="A78" t="s">
        <v>87</v>
      </c>
      <c r="B78">
        <v>0.20230000000000001</v>
      </c>
      <c r="C78" t="s">
        <v>11</v>
      </c>
      <c r="D78">
        <v>2022</v>
      </c>
      <c r="G78" s="5" t="s">
        <v>130</v>
      </c>
      <c r="H78" s="6"/>
    </row>
    <row r="79" spans="1:8" hidden="1" x14ac:dyDescent="0.25">
      <c r="A79" t="s">
        <v>88</v>
      </c>
      <c r="B79">
        <v>0.61240000000000006</v>
      </c>
      <c r="C79" t="s">
        <v>27</v>
      </c>
      <c r="D79">
        <v>2022</v>
      </c>
      <c r="G79" s="2" t="s">
        <v>127</v>
      </c>
      <c r="H79" s="3">
        <f>COUNTIF($C$77:$C$104,G79)</f>
        <v>0</v>
      </c>
    </row>
    <row r="80" spans="1:8" hidden="1" x14ac:dyDescent="0.25">
      <c r="A80" t="s">
        <v>89</v>
      </c>
      <c r="B80">
        <v>-0.57189999999999996</v>
      </c>
      <c r="C80" t="s">
        <v>9</v>
      </c>
      <c r="D80">
        <v>2022</v>
      </c>
      <c r="G80" s="2" t="s">
        <v>21</v>
      </c>
      <c r="H80" s="3">
        <f t="shared" ref="H80:H89" si="2">COUNTIF($C$77:$C$104,G80)</f>
        <v>1</v>
      </c>
    </row>
    <row r="81" spans="1:8" hidden="1" x14ac:dyDescent="0.25">
      <c r="A81" t="s">
        <v>12</v>
      </c>
      <c r="B81">
        <v>0</v>
      </c>
      <c r="C81" t="s">
        <v>5</v>
      </c>
      <c r="D81">
        <v>2022</v>
      </c>
      <c r="G81" s="2" t="s">
        <v>9</v>
      </c>
      <c r="H81" s="3">
        <f t="shared" si="2"/>
        <v>3</v>
      </c>
    </row>
    <row r="82" spans="1:8" hidden="1" x14ac:dyDescent="0.25">
      <c r="A82" t="s">
        <v>90</v>
      </c>
      <c r="B82">
        <v>-0.34</v>
      </c>
      <c r="C82" t="s">
        <v>15</v>
      </c>
      <c r="D82">
        <v>2022</v>
      </c>
      <c r="G82" s="2" t="s">
        <v>15</v>
      </c>
      <c r="H82" s="3">
        <f t="shared" si="2"/>
        <v>1</v>
      </c>
    </row>
    <row r="83" spans="1:8" hidden="1" x14ac:dyDescent="0.25">
      <c r="A83" t="s">
        <v>91</v>
      </c>
      <c r="B83">
        <v>-0.69079999999999997</v>
      </c>
      <c r="C83" t="s">
        <v>9</v>
      </c>
      <c r="D83">
        <v>2022</v>
      </c>
      <c r="G83" s="2" t="s">
        <v>7</v>
      </c>
      <c r="H83" s="3">
        <f t="shared" si="2"/>
        <v>2</v>
      </c>
    </row>
    <row r="84" spans="1:8" hidden="1" x14ac:dyDescent="0.25">
      <c r="A84" t="s">
        <v>92</v>
      </c>
      <c r="B84">
        <v>-0.128</v>
      </c>
      <c r="C84" t="s">
        <v>7</v>
      </c>
      <c r="D84">
        <v>2022</v>
      </c>
      <c r="G84" s="2" t="s">
        <v>5</v>
      </c>
      <c r="H84" s="3">
        <f>COUNTIF($C$77:$C$104,G84)</f>
        <v>5</v>
      </c>
    </row>
    <row r="85" spans="1:8" hidden="1" x14ac:dyDescent="0.25">
      <c r="A85" t="s">
        <v>93</v>
      </c>
      <c r="B85">
        <v>0.62490000000000001</v>
      </c>
      <c r="C85" t="s">
        <v>27</v>
      </c>
      <c r="D85">
        <v>2022</v>
      </c>
      <c r="G85" s="2" t="s">
        <v>11</v>
      </c>
      <c r="H85" s="3">
        <f t="shared" si="2"/>
        <v>3</v>
      </c>
    </row>
    <row r="86" spans="1:8" hidden="1" x14ac:dyDescent="0.25">
      <c r="A86" t="s">
        <v>94</v>
      </c>
      <c r="B86">
        <v>0.38179999999999997</v>
      </c>
      <c r="C86" t="s">
        <v>18</v>
      </c>
      <c r="D86">
        <v>2022</v>
      </c>
      <c r="G86" s="2" t="s">
        <v>18</v>
      </c>
      <c r="H86" s="3">
        <f t="shared" si="2"/>
        <v>3</v>
      </c>
    </row>
    <row r="87" spans="1:8" hidden="1" x14ac:dyDescent="0.25">
      <c r="A87" t="s">
        <v>95</v>
      </c>
      <c r="B87">
        <v>0.62490000000000001</v>
      </c>
      <c r="C87" t="s">
        <v>27</v>
      </c>
      <c r="D87">
        <v>2022</v>
      </c>
      <c r="G87" s="2" t="s">
        <v>27</v>
      </c>
      <c r="H87" s="3">
        <f t="shared" si="2"/>
        <v>5</v>
      </c>
    </row>
    <row r="88" spans="1:8" hidden="1" x14ac:dyDescent="0.25">
      <c r="A88" t="s">
        <v>96</v>
      </c>
      <c r="B88">
        <v>0.61240000000000006</v>
      </c>
      <c r="C88" t="s">
        <v>27</v>
      </c>
      <c r="D88">
        <v>2022</v>
      </c>
      <c r="G88" s="2" t="s">
        <v>23</v>
      </c>
      <c r="H88" s="3">
        <f t="shared" si="2"/>
        <v>4</v>
      </c>
    </row>
    <row r="89" spans="1:8" hidden="1" x14ac:dyDescent="0.25">
      <c r="A89" t="s">
        <v>97</v>
      </c>
      <c r="B89">
        <v>0.96230000000000004</v>
      </c>
      <c r="C89" t="s">
        <v>67</v>
      </c>
      <c r="D89">
        <v>2022</v>
      </c>
      <c r="G89" s="2" t="s">
        <v>67</v>
      </c>
      <c r="H89" s="3">
        <f t="shared" si="2"/>
        <v>1</v>
      </c>
    </row>
    <row r="90" spans="1:8" hidden="1" x14ac:dyDescent="0.25">
      <c r="A90" t="s">
        <v>98</v>
      </c>
      <c r="B90">
        <v>-0.29599999999999999</v>
      </c>
      <c r="C90" t="s">
        <v>7</v>
      </c>
      <c r="D90">
        <v>2022</v>
      </c>
    </row>
    <row r="91" spans="1:8" hidden="1" x14ac:dyDescent="0.25">
      <c r="A91" t="s">
        <v>31</v>
      </c>
      <c r="B91">
        <v>0</v>
      </c>
      <c r="C91" t="s">
        <v>5</v>
      </c>
      <c r="D91">
        <v>2022</v>
      </c>
    </row>
    <row r="92" spans="1:8" hidden="1" x14ac:dyDescent="0.25">
      <c r="A92" t="s">
        <v>99</v>
      </c>
      <c r="B92">
        <v>0.2732</v>
      </c>
      <c r="C92" t="s">
        <v>11</v>
      </c>
      <c r="D92">
        <v>2022</v>
      </c>
    </row>
    <row r="93" spans="1:8" hidden="1" x14ac:dyDescent="0.25">
      <c r="A93" t="s">
        <v>100</v>
      </c>
      <c r="B93">
        <v>7.7200000000000005E-2</v>
      </c>
      <c r="C93" t="s">
        <v>5</v>
      </c>
      <c r="D93">
        <v>2022</v>
      </c>
    </row>
    <row r="94" spans="1:8" hidden="1" x14ac:dyDescent="0.25">
      <c r="A94" t="s">
        <v>101</v>
      </c>
      <c r="B94">
        <v>0.5423</v>
      </c>
      <c r="C94" t="s">
        <v>27</v>
      </c>
      <c r="D94">
        <v>2022</v>
      </c>
    </row>
    <row r="95" spans="1:8" hidden="1" x14ac:dyDescent="0.25">
      <c r="A95" t="s">
        <v>102</v>
      </c>
      <c r="B95">
        <v>7.7200000000000005E-2</v>
      </c>
      <c r="C95" t="s">
        <v>5</v>
      </c>
      <c r="D95">
        <v>2022</v>
      </c>
    </row>
    <row r="96" spans="1:8" hidden="1" x14ac:dyDescent="0.25">
      <c r="A96" t="s">
        <v>103</v>
      </c>
      <c r="B96">
        <v>0.38179999999999997</v>
      </c>
      <c r="C96" t="s">
        <v>18</v>
      </c>
      <c r="D96">
        <v>2022</v>
      </c>
    </row>
    <row r="97" spans="1:8" hidden="1" x14ac:dyDescent="0.25">
      <c r="A97" t="s">
        <v>104</v>
      </c>
      <c r="B97">
        <v>-0.5423</v>
      </c>
      <c r="C97" t="s">
        <v>9</v>
      </c>
      <c r="D97">
        <v>2022</v>
      </c>
    </row>
    <row r="98" spans="1:8" hidden="1" x14ac:dyDescent="0.25">
      <c r="A98" t="s">
        <v>105</v>
      </c>
      <c r="B98">
        <v>0.44040000000000001</v>
      </c>
      <c r="C98" t="s">
        <v>18</v>
      </c>
      <c r="D98">
        <v>2022</v>
      </c>
    </row>
    <row r="99" spans="1:8" hidden="1" x14ac:dyDescent="0.25">
      <c r="A99" t="s">
        <v>106</v>
      </c>
      <c r="B99">
        <v>0.77829999999999999</v>
      </c>
      <c r="C99" t="s">
        <v>23</v>
      </c>
      <c r="D99">
        <v>2022</v>
      </c>
    </row>
    <row r="100" spans="1:8" hidden="1" x14ac:dyDescent="0.25">
      <c r="A100" t="s">
        <v>107</v>
      </c>
      <c r="B100">
        <v>0.71840000000000004</v>
      </c>
      <c r="C100" t="s">
        <v>23</v>
      </c>
      <c r="D100">
        <v>2022</v>
      </c>
    </row>
    <row r="101" spans="1:8" hidden="1" x14ac:dyDescent="0.25">
      <c r="A101" t="s">
        <v>83</v>
      </c>
      <c r="B101">
        <v>0.81259999999999999</v>
      </c>
      <c r="C101" t="s">
        <v>23</v>
      </c>
      <c r="D101">
        <v>2022</v>
      </c>
    </row>
    <row r="102" spans="1:8" hidden="1" x14ac:dyDescent="0.25">
      <c r="A102" t="s">
        <v>108</v>
      </c>
      <c r="B102">
        <v>0.1154</v>
      </c>
      <c r="C102" t="s">
        <v>11</v>
      </c>
      <c r="D102">
        <v>2022</v>
      </c>
    </row>
    <row r="103" spans="1:8" hidden="1" x14ac:dyDescent="0.25">
      <c r="A103" t="s">
        <v>109</v>
      </c>
      <c r="B103">
        <v>-0.74299999999999999</v>
      </c>
      <c r="C103" t="s">
        <v>21</v>
      </c>
      <c r="D103">
        <v>2022</v>
      </c>
    </row>
    <row r="104" spans="1:8" hidden="1" x14ac:dyDescent="0.25">
      <c r="A104" t="s">
        <v>85</v>
      </c>
      <c r="B104">
        <v>0.83160000000000001</v>
      </c>
      <c r="C104" t="s">
        <v>23</v>
      </c>
      <c r="D104">
        <v>2022</v>
      </c>
    </row>
    <row r="105" spans="1:8" hidden="1" x14ac:dyDescent="0.25">
      <c r="A105" t="s">
        <v>110</v>
      </c>
      <c r="B105">
        <v>0</v>
      </c>
      <c r="C105" t="s">
        <v>5</v>
      </c>
      <c r="D105">
        <v>2023</v>
      </c>
    </row>
    <row r="106" spans="1:8" hidden="1" x14ac:dyDescent="0.25">
      <c r="A106" t="s">
        <v>111</v>
      </c>
      <c r="B106">
        <v>0</v>
      </c>
      <c r="C106" t="s">
        <v>5</v>
      </c>
      <c r="D106">
        <v>2023</v>
      </c>
      <c r="G106" s="5" t="s">
        <v>131</v>
      </c>
      <c r="H106" s="6"/>
    </row>
    <row r="107" spans="1:8" hidden="1" x14ac:dyDescent="0.25">
      <c r="A107" t="s">
        <v>112</v>
      </c>
      <c r="B107">
        <v>-0.57189999999999996</v>
      </c>
      <c r="C107" t="s">
        <v>9</v>
      </c>
      <c r="D107">
        <v>2023</v>
      </c>
      <c r="G107" s="2" t="s">
        <v>127</v>
      </c>
      <c r="H107" s="3">
        <f>COUNTIF($C$105:$C$132,G107)</f>
        <v>0</v>
      </c>
    </row>
    <row r="108" spans="1:8" hidden="1" x14ac:dyDescent="0.25">
      <c r="A108" t="s">
        <v>113</v>
      </c>
      <c r="B108">
        <v>0.44040000000000001</v>
      </c>
      <c r="C108" t="s">
        <v>18</v>
      </c>
      <c r="D108">
        <v>2023</v>
      </c>
      <c r="G108" s="2" t="s">
        <v>21</v>
      </c>
      <c r="H108" s="3">
        <f t="shared" ref="H108:H117" si="3">COUNTIF($C$105:$C$132,G108)</f>
        <v>1</v>
      </c>
    </row>
    <row r="109" spans="1:8" hidden="1" x14ac:dyDescent="0.25">
      <c r="A109" t="s">
        <v>12</v>
      </c>
      <c r="B109">
        <v>0</v>
      </c>
      <c r="C109" t="s">
        <v>5</v>
      </c>
      <c r="D109">
        <v>2023</v>
      </c>
      <c r="G109" s="2" t="s">
        <v>9</v>
      </c>
      <c r="H109" s="3">
        <f t="shared" si="3"/>
        <v>3</v>
      </c>
    </row>
    <row r="110" spans="1:8" hidden="1" x14ac:dyDescent="0.25">
      <c r="A110" t="s">
        <v>114</v>
      </c>
      <c r="B110">
        <v>-0.34</v>
      </c>
      <c r="C110" t="s">
        <v>15</v>
      </c>
      <c r="D110">
        <v>2023</v>
      </c>
      <c r="G110" s="2" t="s">
        <v>15</v>
      </c>
      <c r="H110" s="3">
        <f>COUNTIF($C$105:$C$132,G110)</f>
        <v>1</v>
      </c>
    </row>
    <row r="111" spans="1:8" hidden="1" x14ac:dyDescent="0.25">
      <c r="A111" t="s">
        <v>115</v>
      </c>
      <c r="B111">
        <v>-0.69079999999999997</v>
      </c>
      <c r="C111" t="s">
        <v>9</v>
      </c>
      <c r="D111">
        <v>2023</v>
      </c>
      <c r="G111" s="2" t="s">
        <v>7</v>
      </c>
      <c r="H111" s="3">
        <f t="shared" si="3"/>
        <v>2</v>
      </c>
    </row>
    <row r="112" spans="1:8" hidden="1" x14ac:dyDescent="0.25">
      <c r="A112" t="s">
        <v>116</v>
      </c>
      <c r="B112">
        <v>-0.128</v>
      </c>
      <c r="C112" t="s">
        <v>7</v>
      </c>
      <c r="D112">
        <v>2023</v>
      </c>
      <c r="G112" s="2" t="s">
        <v>5</v>
      </c>
      <c r="H112" s="3">
        <f>COUNTIF($C$105:$C$132,G112)</f>
        <v>6</v>
      </c>
    </row>
    <row r="113" spans="1:8" hidden="1" x14ac:dyDescent="0.25">
      <c r="A113" t="s">
        <v>93</v>
      </c>
      <c r="B113">
        <v>0.62490000000000001</v>
      </c>
      <c r="C113" t="s">
        <v>27</v>
      </c>
      <c r="D113">
        <v>2023</v>
      </c>
      <c r="G113" s="2" t="s">
        <v>11</v>
      </c>
      <c r="H113" s="3">
        <f t="shared" si="3"/>
        <v>3</v>
      </c>
    </row>
    <row r="114" spans="1:8" hidden="1" x14ac:dyDescent="0.25">
      <c r="A114" t="s">
        <v>117</v>
      </c>
      <c r="B114">
        <v>0.38179999999999997</v>
      </c>
      <c r="C114" t="s">
        <v>18</v>
      </c>
      <c r="D114">
        <v>2023</v>
      </c>
      <c r="G114" s="2" t="s">
        <v>18</v>
      </c>
      <c r="H114" s="3">
        <f t="shared" si="3"/>
        <v>3</v>
      </c>
    </row>
    <row r="115" spans="1:8" hidden="1" x14ac:dyDescent="0.25">
      <c r="A115" t="s">
        <v>118</v>
      </c>
      <c r="B115">
        <v>0.62490000000000001</v>
      </c>
      <c r="C115" t="s">
        <v>27</v>
      </c>
      <c r="D115">
        <v>2023</v>
      </c>
      <c r="G115" s="2" t="s">
        <v>27</v>
      </c>
      <c r="H115" s="3">
        <f t="shared" si="3"/>
        <v>4</v>
      </c>
    </row>
    <row r="116" spans="1:8" hidden="1" x14ac:dyDescent="0.25">
      <c r="A116" t="s">
        <v>119</v>
      </c>
      <c r="B116">
        <v>0.69079999999999997</v>
      </c>
      <c r="C116" t="s">
        <v>27</v>
      </c>
      <c r="D116">
        <v>2023</v>
      </c>
      <c r="G116" s="2" t="s">
        <v>23</v>
      </c>
      <c r="H116" s="3">
        <f t="shared" si="3"/>
        <v>4</v>
      </c>
    </row>
    <row r="117" spans="1:8" hidden="1" x14ac:dyDescent="0.25">
      <c r="A117" t="s">
        <v>120</v>
      </c>
      <c r="B117">
        <v>0.96230000000000004</v>
      </c>
      <c r="C117" t="s">
        <v>67</v>
      </c>
      <c r="D117">
        <v>2023</v>
      </c>
      <c r="G117" s="2" t="s">
        <v>67</v>
      </c>
      <c r="H117" s="3">
        <f t="shared" si="3"/>
        <v>1</v>
      </c>
    </row>
    <row r="118" spans="1:8" hidden="1" x14ac:dyDescent="0.25">
      <c r="A118" t="s">
        <v>98</v>
      </c>
      <c r="B118">
        <v>-0.29599999999999999</v>
      </c>
      <c r="C118" t="s">
        <v>7</v>
      </c>
      <c r="D118">
        <v>2023</v>
      </c>
    </row>
    <row r="119" spans="1:8" hidden="1" x14ac:dyDescent="0.25">
      <c r="A119" t="s">
        <v>31</v>
      </c>
      <c r="B119">
        <v>0</v>
      </c>
      <c r="C119" t="s">
        <v>5</v>
      </c>
      <c r="D119">
        <v>2023</v>
      </c>
    </row>
    <row r="120" spans="1:8" hidden="1" x14ac:dyDescent="0.25">
      <c r="A120" t="s">
        <v>99</v>
      </c>
      <c r="B120">
        <v>0.2732</v>
      </c>
      <c r="C120" t="s">
        <v>11</v>
      </c>
      <c r="D120">
        <v>2023</v>
      </c>
    </row>
    <row r="121" spans="1:8" hidden="1" x14ac:dyDescent="0.25">
      <c r="A121" t="s">
        <v>100</v>
      </c>
      <c r="B121">
        <v>7.7200000000000005E-2</v>
      </c>
      <c r="C121" t="s">
        <v>5</v>
      </c>
      <c r="D121">
        <v>2023</v>
      </c>
    </row>
    <row r="122" spans="1:8" hidden="1" x14ac:dyDescent="0.25">
      <c r="A122" t="s">
        <v>101</v>
      </c>
      <c r="B122">
        <v>0.5423</v>
      </c>
      <c r="C122" t="s">
        <v>27</v>
      </c>
      <c r="D122">
        <v>2023</v>
      </c>
    </row>
    <row r="123" spans="1:8" hidden="1" x14ac:dyDescent="0.25">
      <c r="A123" t="s">
        <v>121</v>
      </c>
      <c r="B123">
        <v>7.7200000000000005E-2</v>
      </c>
      <c r="C123" t="s">
        <v>5</v>
      </c>
      <c r="D123">
        <v>2023</v>
      </c>
    </row>
    <row r="124" spans="1:8" hidden="1" x14ac:dyDescent="0.25">
      <c r="A124" t="s">
        <v>122</v>
      </c>
      <c r="B124">
        <v>0.128</v>
      </c>
      <c r="C124" t="s">
        <v>11</v>
      </c>
      <c r="D124">
        <v>2023</v>
      </c>
    </row>
    <row r="125" spans="1:8" hidden="1" x14ac:dyDescent="0.25">
      <c r="A125" t="s">
        <v>123</v>
      </c>
      <c r="B125">
        <v>-0.5423</v>
      </c>
      <c r="C125" t="s">
        <v>9</v>
      </c>
      <c r="D125">
        <v>2023</v>
      </c>
    </row>
    <row r="126" spans="1:8" hidden="1" x14ac:dyDescent="0.25">
      <c r="A126" t="s">
        <v>105</v>
      </c>
      <c r="B126">
        <v>0.44040000000000001</v>
      </c>
      <c r="C126" t="s">
        <v>18</v>
      </c>
      <c r="D126">
        <v>2023</v>
      </c>
    </row>
    <row r="127" spans="1:8" hidden="1" x14ac:dyDescent="0.25">
      <c r="A127" t="s">
        <v>124</v>
      </c>
      <c r="B127">
        <v>0.77829999999999999</v>
      </c>
      <c r="C127" t="s">
        <v>23</v>
      </c>
      <c r="D127">
        <v>2023</v>
      </c>
    </row>
    <row r="128" spans="1:8" hidden="1" x14ac:dyDescent="0.25">
      <c r="A128" t="s">
        <v>125</v>
      </c>
      <c r="B128">
        <v>0.71840000000000004</v>
      </c>
      <c r="C128" t="s">
        <v>23</v>
      </c>
      <c r="D128">
        <v>2023</v>
      </c>
    </row>
    <row r="129" spans="1:4" hidden="1" x14ac:dyDescent="0.25">
      <c r="A129" t="s">
        <v>83</v>
      </c>
      <c r="B129">
        <v>0.81259999999999999</v>
      </c>
      <c r="C129" t="s">
        <v>23</v>
      </c>
      <c r="D129">
        <v>2023</v>
      </c>
    </row>
    <row r="130" spans="1:4" hidden="1" x14ac:dyDescent="0.25">
      <c r="A130" t="s">
        <v>126</v>
      </c>
      <c r="B130">
        <v>0.1154</v>
      </c>
      <c r="C130" t="s">
        <v>11</v>
      </c>
      <c r="D130">
        <v>2023</v>
      </c>
    </row>
    <row r="131" spans="1:4" hidden="1" x14ac:dyDescent="0.25">
      <c r="A131" t="s">
        <v>109</v>
      </c>
      <c r="B131">
        <v>-0.74299999999999999</v>
      </c>
      <c r="C131" t="s">
        <v>21</v>
      </c>
      <c r="D131">
        <v>2023</v>
      </c>
    </row>
    <row r="132" spans="1:4" hidden="1" x14ac:dyDescent="0.25">
      <c r="A132" t="s">
        <v>85</v>
      </c>
      <c r="B132">
        <v>0.83160000000000001</v>
      </c>
      <c r="C132" t="s">
        <v>23</v>
      </c>
      <c r="D132">
        <v>2023</v>
      </c>
    </row>
  </sheetData>
  <autoFilter ref="A1:D132" xr:uid="{D33FEA30-E052-42B8-9145-294A2AFA576B}">
    <filterColumn colId="3">
      <filters>
        <filter val="2020"/>
      </filters>
    </filterColumn>
  </autoFilter>
  <mergeCells count="4">
    <mergeCell ref="G78:H78"/>
    <mergeCell ref="G106:H106"/>
    <mergeCell ref="G3:H3"/>
    <mergeCell ref="G39:H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F74C-2CD5-41C1-BD64-2B7BB6DD3CD9}">
  <dimension ref="B2:N55"/>
  <sheetViews>
    <sheetView tabSelected="1" topLeftCell="A4" zoomScale="80" workbookViewId="0">
      <selection activeCell="C9" sqref="C9"/>
    </sheetView>
  </sheetViews>
  <sheetFormatPr baseColWidth="10" defaultRowHeight="15" x14ac:dyDescent="0.25"/>
  <cols>
    <col min="2" max="2" width="17.42578125" bestFit="1" customWidth="1"/>
  </cols>
  <sheetData>
    <row r="2" spans="2:14" x14ac:dyDescent="0.25">
      <c r="B2" s="8" t="s">
        <v>128</v>
      </c>
      <c r="C2" s="9"/>
      <c r="N2" s="4" t="s">
        <v>132</v>
      </c>
    </row>
    <row r="3" spans="2:14" x14ac:dyDescent="0.25">
      <c r="B3" s="3" t="s">
        <v>127</v>
      </c>
      <c r="C3" s="3">
        <v>0</v>
      </c>
    </row>
    <row r="4" spans="2:14" x14ac:dyDescent="0.25">
      <c r="B4" s="3" t="s">
        <v>21</v>
      </c>
      <c r="C4" s="3">
        <v>2</v>
      </c>
    </row>
    <row r="5" spans="2:14" x14ac:dyDescent="0.25">
      <c r="B5" s="3" t="s">
        <v>9</v>
      </c>
      <c r="C5" s="3">
        <v>5</v>
      </c>
    </row>
    <row r="6" spans="2:14" x14ac:dyDescent="0.25">
      <c r="B6" s="3" t="s">
        <v>15</v>
      </c>
      <c r="C6" s="3">
        <v>2</v>
      </c>
    </row>
    <row r="7" spans="2:14" x14ac:dyDescent="0.25">
      <c r="B7" s="3" t="s">
        <v>7</v>
      </c>
      <c r="C7" s="3">
        <v>1</v>
      </c>
    </row>
    <row r="8" spans="2:14" x14ac:dyDescent="0.25">
      <c r="B8" s="3" t="s">
        <v>5</v>
      </c>
      <c r="C8" s="3">
        <f>(C7+C9)/2</f>
        <v>1</v>
      </c>
    </row>
    <row r="9" spans="2:14" x14ac:dyDescent="0.25">
      <c r="B9" s="3" t="s">
        <v>11</v>
      </c>
      <c r="C9" s="3">
        <v>1</v>
      </c>
    </row>
    <row r="10" spans="2:14" x14ac:dyDescent="0.25">
      <c r="B10" s="3" t="s">
        <v>18</v>
      </c>
      <c r="C10" s="3">
        <v>5</v>
      </c>
    </row>
    <row r="11" spans="2:14" x14ac:dyDescent="0.25">
      <c r="B11" s="3" t="s">
        <v>27</v>
      </c>
      <c r="C11" s="3">
        <v>6</v>
      </c>
    </row>
    <row r="12" spans="2:14" x14ac:dyDescent="0.25">
      <c r="B12" s="3" t="s">
        <v>23</v>
      </c>
      <c r="C12" s="3">
        <v>6</v>
      </c>
    </row>
    <row r="13" spans="2:14" x14ac:dyDescent="0.25">
      <c r="B13" s="3" t="s">
        <v>67</v>
      </c>
      <c r="C13" s="3">
        <v>0</v>
      </c>
    </row>
    <row r="16" spans="2:14" x14ac:dyDescent="0.25">
      <c r="B16" s="7" t="s">
        <v>129</v>
      </c>
      <c r="C16" s="7"/>
    </row>
    <row r="17" spans="2:3" x14ac:dyDescent="0.25">
      <c r="B17" s="3" t="s">
        <v>127</v>
      </c>
      <c r="C17" s="3">
        <v>0</v>
      </c>
    </row>
    <row r="18" spans="2:3" x14ac:dyDescent="0.25">
      <c r="B18" s="3" t="s">
        <v>21</v>
      </c>
      <c r="C18" s="3">
        <v>1</v>
      </c>
    </row>
    <row r="19" spans="2:3" x14ac:dyDescent="0.25">
      <c r="B19" s="3" t="s">
        <v>9</v>
      </c>
      <c r="C19" s="3">
        <v>1</v>
      </c>
    </row>
    <row r="20" spans="2:3" x14ac:dyDescent="0.25">
      <c r="B20" s="3" t="s">
        <v>15</v>
      </c>
      <c r="C20" s="3">
        <v>1</v>
      </c>
    </row>
    <row r="21" spans="2:3" x14ac:dyDescent="0.25">
      <c r="B21" s="3" t="s">
        <v>7</v>
      </c>
      <c r="C21" s="3">
        <v>1</v>
      </c>
    </row>
    <row r="22" spans="2:3" x14ac:dyDescent="0.25">
      <c r="B22" s="3" t="s">
        <v>5</v>
      </c>
      <c r="C22" s="3">
        <f>(C21+C23)/2</f>
        <v>3</v>
      </c>
    </row>
    <row r="23" spans="2:3" x14ac:dyDescent="0.25">
      <c r="B23" s="3" t="s">
        <v>11</v>
      </c>
      <c r="C23" s="3">
        <v>5</v>
      </c>
    </row>
    <row r="24" spans="2:3" x14ac:dyDescent="0.25">
      <c r="B24" s="3" t="s">
        <v>18</v>
      </c>
      <c r="C24" s="3">
        <v>7</v>
      </c>
    </row>
    <row r="25" spans="2:3" x14ac:dyDescent="0.25">
      <c r="B25" s="3" t="s">
        <v>27</v>
      </c>
      <c r="C25" s="3">
        <v>6</v>
      </c>
    </row>
    <row r="26" spans="2:3" x14ac:dyDescent="0.25">
      <c r="B26" s="3" t="s">
        <v>23</v>
      </c>
      <c r="C26" s="3">
        <v>3</v>
      </c>
    </row>
    <row r="27" spans="2:3" x14ac:dyDescent="0.25">
      <c r="B27" s="3" t="s">
        <v>67</v>
      </c>
      <c r="C27" s="3">
        <v>1</v>
      </c>
    </row>
    <row r="30" spans="2:3" x14ac:dyDescent="0.25">
      <c r="B30" s="7" t="s">
        <v>130</v>
      </c>
      <c r="C30" s="7"/>
    </row>
    <row r="31" spans="2:3" x14ac:dyDescent="0.25">
      <c r="B31" s="3" t="s">
        <v>127</v>
      </c>
      <c r="C31" s="3">
        <v>0</v>
      </c>
    </row>
    <row r="32" spans="2:3" x14ac:dyDescent="0.25">
      <c r="B32" s="3" t="s">
        <v>21</v>
      </c>
      <c r="C32" s="3">
        <v>1</v>
      </c>
    </row>
    <row r="33" spans="2:3" x14ac:dyDescent="0.25">
      <c r="B33" s="3" t="s">
        <v>9</v>
      </c>
      <c r="C33" s="3">
        <v>3</v>
      </c>
    </row>
    <row r="34" spans="2:3" x14ac:dyDescent="0.25">
      <c r="B34" s="3" t="s">
        <v>15</v>
      </c>
      <c r="C34" s="3">
        <v>1</v>
      </c>
    </row>
    <row r="35" spans="2:3" x14ac:dyDescent="0.25">
      <c r="B35" s="3" t="s">
        <v>7</v>
      </c>
      <c r="C35" s="3">
        <v>2</v>
      </c>
    </row>
    <row r="36" spans="2:3" x14ac:dyDescent="0.25">
      <c r="B36" s="3" t="s">
        <v>5</v>
      </c>
      <c r="C36" s="3">
        <f>(C35+C37)/2</f>
        <v>2.5</v>
      </c>
    </row>
    <row r="37" spans="2:3" x14ac:dyDescent="0.25">
      <c r="B37" s="3" t="s">
        <v>11</v>
      </c>
      <c r="C37" s="3">
        <v>3</v>
      </c>
    </row>
    <row r="38" spans="2:3" x14ac:dyDescent="0.25">
      <c r="B38" s="3" t="s">
        <v>18</v>
      </c>
      <c r="C38" s="3">
        <v>3</v>
      </c>
    </row>
    <row r="39" spans="2:3" x14ac:dyDescent="0.25">
      <c r="B39" s="3" t="s">
        <v>27</v>
      </c>
      <c r="C39" s="3">
        <v>5</v>
      </c>
    </row>
    <row r="40" spans="2:3" x14ac:dyDescent="0.25">
      <c r="B40" s="3" t="s">
        <v>23</v>
      </c>
      <c r="C40" s="3">
        <v>4</v>
      </c>
    </row>
    <row r="41" spans="2:3" x14ac:dyDescent="0.25">
      <c r="B41" s="3" t="s">
        <v>67</v>
      </c>
      <c r="C41" s="3">
        <v>1</v>
      </c>
    </row>
    <row r="44" spans="2:3" x14ac:dyDescent="0.25">
      <c r="B44" s="7" t="s">
        <v>131</v>
      </c>
      <c r="C44" s="7"/>
    </row>
    <row r="45" spans="2:3" x14ac:dyDescent="0.25">
      <c r="B45" s="3" t="s">
        <v>127</v>
      </c>
      <c r="C45" s="3">
        <v>0</v>
      </c>
    </row>
    <row r="46" spans="2:3" x14ac:dyDescent="0.25">
      <c r="B46" s="3" t="s">
        <v>21</v>
      </c>
      <c r="C46" s="3">
        <v>1</v>
      </c>
    </row>
    <row r="47" spans="2:3" x14ac:dyDescent="0.25">
      <c r="B47" s="3" t="s">
        <v>9</v>
      </c>
      <c r="C47" s="3">
        <v>3</v>
      </c>
    </row>
    <row r="48" spans="2:3" x14ac:dyDescent="0.25">
      <c r="B48" s="3" t="s">
        <v>15</v>
      </c>
      <c r="C48" s="3">
        <v>1</v>
      </c>
    </row>
    <row r="49" spans="2:3" x14ac:dyDescent="0.25">
      <c r="B49" s="3" t="s">
        <v>7</v>
      </c>
      <c r="C49" s="3">
        <v>2</v>
      </c>
    </row>
    <row r="50" spans="2:3" x14ac:dyDescent="0.25">
      <c r="B50" s="3" t="s">
        <v>5</v>
      </c>
      <c r="C50" s="3">
        <f>(C49+C51)/2</f>
        <v>2.5</v>
      </c>
    </row>
    <row r="51" spans="2:3" x14ac:dyDescent="0.25">
      <c r="B51" s="3" t="s">
        <v>11</v>
      </c>
      <c r="C51" s="3">
        <v>3</v>
      </c>
    </row>
    <row r="52" spans="2:3" x14ac:dyDescent="0.25">
      <c r="B52" s="3" t="s">
        <v>18</v>
      </c>
      <c r="C52" s="3">
        <v>3</v>
      </c>
    </row>
    <row r="53" spans="2:3" x14ac:dyDescent="0.25">
      <c r="B53" s="3" t="s">
        <v>27</v>
      </c>
      <c r="C53" s="3">
        <v>4</v>
      </c>
    </row>
    <row r="54" spans="2:3" x14ac:dyDescent="0.25">
      <c r="B54" s="3" t="s">
        <v>23</v>
      </c>
      <c r="C54" s="3">
        <v>4</v>
      </c>
    </row>
    <row r="55" spans="2:3" x14ac:dyDescent="0.25">
      <c r="B55" s="3" t="s">
        <v>67</v>
      </c>
      <c r="C55" s="3">
        <v>1</v>
      </c>
    </row>
  </sheetData>
  <mergeCells count="4">
    <mergeCell ref="B44:C44"/>
    <mergeCell ref="B2:C2"/>
    <mergeCell ref="B16:C16"/>
    <mergeCell ref="B30:C30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 data</vt:lpstr>
      <vt:lpstr>Filtro-Datos consolidados</vt:lpstr>
      <vt:lpstr>Graficas y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</cp:lastModifiedBy>
  <dcterms:created xsi:type="dcterms:W3CDTF">2025-04-03T17:42:36Z</dcterms:created>
  <dcterms:modified xsi:type="dcterms:W3CDTF">2025-04-03T22:39:15Z</dcterms:modified>
</cp:coreProperties>
</file>